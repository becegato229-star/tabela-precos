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9e64bef5804d793/Área de Trabalho/"/>
    </mc:Choice>
  </mc:AlternateContent>
  <xr:revisionPtr revIDLastSave="0" documentId="8_{8B85B825-CB7F-45C9-AFD2-AE95D2B6364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Plan1" sheetId="1" r:id="rId1"/>
    <sheet name="Págin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F41" i="2"/>
  <c r="G41" i="2" s="1"/>
  <c r="F40" i="2"/>
  <c r="G40" i="2" s="1"/>
  <c r="G39" i="2"/>
  <c r="F39" i="2"/>
  <c r="B39" i="2"/>
  <c r="C39" i="2" s="1"/>
  <c r="F38" i="2"/>
  <c r="G38" i="2" s="1"/>
  <c r="B38" i="2"/>
  <c r="C38" i="2" s="1"/>
  <c r="G37" i="2"/>
  <c r="F37" i="2"/>
  <c r="B37" i="2"/>
  <c r="C37" i="2" s="1"/>
  <c r="F36" i="2"/>
  <c r="G36" i="2" s="1"/>
  <c r="B36" i="2"/>
  <c r="C36" i="2" s="1"/>
  <c r="G35" i="2"/>
  <c r="F35" i="2"/>
  <c r="B35" i="2"/>
  <c r="C35" i="2" s="1"/>
  <c r="F34" i="2"/>
  <c r="G34" i="2" s="1"/>
  <c r="B34" i="2"/>
  <c r="C34" i="2" s="1"/>
  <c r="G33" i="2"/>
  <c r="F33" i="2"/>
  <c r="B33" i="2"/>
  <c r="C33" i="2" s="1"/>
  <c r="F32" i="2"/>
  <c r="G32" i="2" s="1"/>
  <c r="B32" i="2"/>
  <c r="C32" i="2" s="1"/>
  <c r="G31" i="2"/>
  <c r="F31" i="2"/>
  <c r="B31" i="2"/>
  <c r="C31" i="2" s="1"/>
  <c r="F30" i="2"/>
  <c r="G30" i="2" s="1"/>
  <c r="B30" i="2"/>
  <c r="C30" i="2" s="1"/>
  <c r="G29" i="2"/>
  <c r="F29" i="2"/>
  <c r="B29" i="2"/>
  <c r="C29" i="2" s="1"/>
  <c r="F28" i="2"/>
  <c r="G28" i="2" s="1"/>
  <c r="B28" i="2"/>
  <c r="C28" i="2" s="1"/>
  <c r="G26" i="2"/>
  <c r="F26" i="2"/>
  <c r="B26" i="2"/>
  <c r="C26" i="2" s="1"/>
  <c r="F25" i="2"/>
  <c r="G25" i="2" s="1"/>
  <c r="B25" i="2"/>
  <c r="C25" i="2" s="1"/>
  <c r="G24" i="2"/>
  <c r="F24" i="2"/>
  <c r="B24" i="2"/>
  <c r="C24" i="2" s="1"/>
  <c r="F23" i="2"/>
  <c r="G23" i="2" s="1"/>
  <c r="B23" i="2"/>
  <c r="C23" i="2" s="1"/>
  <c r="G22" i="2"/>
  <c r="F22" i="2"/>
  <c r="B22" i="2"/>
  <c r="C22" i="2" s="1"/>
  <c r="F21" i="2"/>
  <c r="G21" i="2" s="1"/>
  <c r="B21" i="2"/>
  <c r="C21" i="2" s="1"/>
  <c r="G20" i="2"/>
  <c r="F20" i="2"/>
  <c r="B20" i="2"/>
  <c r="C20" i="2" s="1"/>
  <c r="F19" i="2"/>
  <c r="G19" i="2" s="1"/>
  <c r="B19" i="2"/>
  <c r="C19" i="2" s="1"/>
  <c r="G18" i="2"/>
  <c r="F18" i="2"/>
  <c r="B18" i="2"/>
  <c r="C18" i="2" s="1"/>
  <c r="F17" i="2"/>
  <c r="G17" i="2" s="1"/>
  <c r="B17" i="2"/>
  <c r="C17" i="2" s="1"/>
  <c r="G15" i="2"/>
  <c r="F15" i="2"/>
  <c r="B15" i="2"/>
  <c r="C15" i="2" s="1"/>
  <c r="F14" i="2"/>
  <c r="G14" i="2" s="1"/>
  <c r="B14" i="2"/>
  <c r="C14" i="2" s="1"/>
  <c r="G13" i="2"/>
  <c r="F13" i="2"/>
  <c r="B13" i="2"/>
  <c r="C13" i="2" s="1"/>
  <c r="F12" i="2"/>
  <c r="G12" i="2" s="1"/>
  <c r="B12" i="2"/>
  <c r="C12" i="2" s="1"/>
  <c r="G11" i="2"/>
  <c r="F11" i="2"/>
  <c r="B11" i="2"/>
  <c r="C11" i="2" s="1"/>
  <c r="F10" i="2"/>
  <c r="G10" i="2" s="1"/>
  <c r="B10" i="2"/>
  <c r="C10" i="2" s="1"/>
  <c r="G9" i="2"/>
  <c r="F9" i="2"/>
  <c r="B9" i="2"/>
  <c r="C9" i="2" s="1"/>
  <c r="F8" i="2"/>
  <c r="G8" i="2" s="1"/>
  <c r="B8" i="2"/>
  <c r="C8" i="2" s="1"/>
  <c r="G7" i="2"/>
  <c r="F7" i="2"/>
  <c r="B7" i="2"/>
  <c r="C7" i="2" s="1"/>
  <c r="F6" i="2"/>
  <c r="G6" i="2" s="1"/>
  <c r="B6" i="2"/>
  <c r="C6" i="2" s="1"/>
  <c r="G5" i="2"/>
  <c r="F5" i="2"/>
  <c r="B5" i="2"/>
  <c r="C5" i="2" s="1"/>
  <c r="F4" i="2"/>
  <c r="G4" i="2" s="1"/>
  <c r="B4" i="2"/>
  <c r="C4" i="2" s="1"/>
  <c r="G3" i="2"/>
  <c r="F3" i="2"/>
  <c r="B3" i="2"/>
  <c r="C3" i="2" s="1"/>
  <c r="F2" i="2"/>
  <c r="G2" i="2" s="1"/>
  <c r="B2" i="2"/>
  <c r="C2" i="2" s="1"/>
  <c r="G1" i="2"/>
  <c r="F1" i="2"/>
  <c r="B1" i="2"/>
  <c r="C1" i="2" s="1"/>
</calcChain>
</file>

<file path=xl/sharedStrings.xml><?xml version="1.0" encoding="utf-8"?>
<sst xmlns="http://schemas.openxmlformats.org/spreadsheetml/2006/main" count="908" uniqueCount="603">
  <si>
    <t>COD</t>
  </si>
  <si>
    <t>Medida</t>
  </si>
  <si>
    <t>Preço / BR</t>
  </si>
  <si>
    <t>Embalagem</t>
  </si>
  <si>
    <t>3/16"</t>
  </si>
  <si>
    <t>1/4"</t>
  </si>
  <si>
    <t>5/16"</t>
  </si>
  <si>
    <t>3/8"</t>
  </si>
  <si>
    <t>7/16"</t>
  </si>
  <si>
    <t>1/2'' NC</t>
  </si>
  <si>
    <t xml:space="preserve">  1/2" WW</t>
  </si>
  <si>
    <t>9/16"</t>
  </si>
  <si>
    <t>5/8"</t>
  </si>
  <si>
    <t>3/4"</t>
  </si>
  <si>
    <t>7/8"</t>
  </si>
  <si>
    <t>1"</t>
  </si>
  <si>
    <t>1 1/8"</t>
  </si>
  <si>
    <t>1 1/4"</t>
  </si>
  <si>
    <t>1 1/2"</t>
  </si>
  <si>
    <t>PORCA SEXTAVADA G. FOGO</t>
  </si>
  <si>
    <t>ARRUELA LISA G. FOGO</t>
  </si>
  <si>
    <t>Preço / CT</t>
  </si>
  <si>
    <t>557</t>
  </si>
  <si>
    <t>R$ 25,79</t>
  </si>
  <si>
    <t>224</t>
  </si>
  <si>
    <t>R$ 16,80</t>
  </si>
  <si>
    <t>560</t>
  </si>
  <si>
    <t>R$ 32,85</t>
  </si>
  <si>
    <t>4621</t>
  </si>
  <si>
    <t>R$ 24,16</t>
  </si>
  <si>
    <t>559</t>
  </si>
  <si>
    <t>R$ 41,60</t>
  </si>
  <si>
    <t>226</t>
  </si>
  <si>
    <t>R$ 24,80</t>
  </si>
  <si>
    <t>555</t>
  </si>
  <si>
    <t>1/2" NC</t>
  </si>
  <si>
    <t>R$ 88,00</t>
  </si>
  <si>
    <t>223</t>
  </si>
  <si>
    <t>1/2"</t>
  </si>
  <si>
    <t>R$ 72,00</t>
  </si>
  <si>
    <t>556</t>
  </si>
  <si>
    <t>227</t>
  </si>
  <si>
    <t>R$ 110,40</t>
  </si>
  <si>
    <t>562</t>
  </si>
  <si>
    <t>R$ 168,00</t>
  </si>
  <si>
    <t>225</t>
  </si>
  <si>
    <t>R$ 118,40</t>
  </si>
  <si>
    <t>558</t>
  </si>
  <si>
    <t>R$ 222,40</t>
  </si>
  <si>
    <t>228</t>
  </si>
  <si>
    <t>R$ 163,20</t>
  </si>
  <si>
    <t>563</t>
  </si>
  <si>
    <t>R$ 363,20</t>
  </si>
  <si>
    <t>222</t>
  </si>
  <si>
    <t>5025</t>
  </si>
  <si>
    <t>R$ 558,88</t>
  </si>
  <si>
    <t>PROLONGADOR SEXTAVADO ZINCADO</t>
  </si>
  <si>
    <t>PARAFUSO OLHAL ZINCADO</t>
  </si>
  <si>
    <t>Preço / PÇ</t>
  </si>
  <si>
    <t>582</t>
  </si>
  <si>
    <t xml:space="preserve">  1/4" x 25</t>
  </si>
  <si>
    <t>R$ 1,01</t>
  </si>
  <si>
    <t xml:space="preserve">  1/4" x 100</t>
  </si>
  <si>
    <t>583</t>
  </si>
  <si>
    <t xml:space="preserve">  1/4" x 50</t>
  </si>
  <si>
    <t>R$ 1,98</t>
  </si>
  <si>
    <t>999</t>
  </si>
  <si>
    <t xml:space="preserve">  1/4" x 200</t>
  </si>
  <si>
    <t>590</t>
  </si>
  <si>
    <t>5/16" x 25</t>
  </si>
  <si>
    <t>R$ 1,23</t>
  </si>
  <si>
    <t>1015</t>
  </si>
  <si>
    <t>5/16" x 100</t>
  </si>
  <si>
    <t>591</t>
  </si>
  <si>
    <t>5/16" x 50</t>
  </si>
  <si>
    <t>R$ 2,40</t>
  </si>
  <si>
    <t>1018</t>
  </si>
  <si>
    <t>5/16" x 200</t>
  </si>
  <si>
    <t>587</t>
  </si>
  <si>
    <t xml:space="preserve">  3/8" x 25</t>
  </si>
  <si>
    <t>R$ 1,25</t>
  </si>
  <si>
    <t>1002</t>
  </si>
  <si>
    <t xml:space="preserve">  3/8" x 100</t>
  </si>
  <si>
    <t>588</t>
  </si>
  <si>
    <t xml:space="preserve">  3/8" x 50</t>
  </si>
  <si>
    <t>R$ 2,48</t>
  </si>
  <si>
    <t>1007</t>
  </si>
  <si>
    <t xml:space="preserve">  3/8" x 200</t>
  </si>
  <si>
    <t>579</t>
  </si>
  <si>
    <t xml:space="preserve">  1/2" x 50 NC</t>
  </si>
  <si>
    <t>R$ 6,40</t>
  </si>
  <si>
    <t>1028</t>
  </si>
  <si>
    <t xml:space="preserve">7/16" x 350 </t>
  </si>
  <si>
    <t>580</t>
  </si>
  <si>
    <t xml:space="preserve">  1/2" x 50 WW</t>
  </si>
  <si>
    <t>1030</t>
  </si>
  <si>
    <t xml:space="preserve">7/16" x 450 </t>
  </si>
  <si>
    <t>592</t>
  </si>
  <si>
    <t xml:space="preserve">  5/8" x 50</t>
  </si>
  <si>
    <t>R$ 12,64</t>
  </si>
  <si>
    <t>989</t>
  </si>
  <si>
    <t xml:space="preserve">  1/2" x 350 NC</t>
  </si>
  <si>
    <t>584</t>
  </si>
  <si>
    <t xml:space="preserve">  3/4" x 50</t>
  </si>
  <si>
    <t>991</t>
  </si>
  <si>
    <t xml:space="preserve">  1/2" x 450 NC</t>
  </si>
  <si>
    <t>PARAFUSO OLHAL ZINCADO C/ SOLDA</t>
  </si>
  <si>
    <t>PORCA SEXTAVADA ZINCADA</t>
  </si>
  <si>
    <t>5240</t>
  </si>
  <si>
    <t>R$  5,20</t>
  </si>
  <si>
    <t>Embalagem / CT</t>
  </si>
  <si>
    <t>5205</t>
  </si>
  <si>
    <t>R$  6,35</t>
  </si>
  <si>
    <t>546</t>
  </si>
  <si>
    <t>R$ 3,81</t>
  </si>
  <si>
    <t>4658</t>
  </si>
  <si>
    <t>R$  6,80</t>
  </si>
  <si>
    <t>545</t>
  </si>
  <si>
    <t>R$ 6,00</t>
  </si>
  <si>
    <t>R$  8,31</t>
  </si>
  <si>
    <t>549</t>
  </si>
  <si>
    <t>R$ 8,80</t>
  </si>
  <si>
    <t>548</t>
  </si>
  <si>
    <t>R$ 12,74</t>
  </si>
  <si>
    <t>551</t>
  </si>
  <si>
    <t>R$ 18,86</t>
  </si>
  <si>
    <t>543</t>
  </si>
  <si>
    <t>R$ 29,98</t>
  </si>
  <si>
    <t>544</t>
  </si>
  <si>
    <t>553</t>
  </si>
  <si>
    <t>R$ 51,38</t>
  </si>
  <si>
    <t>550</t>
  </si>
  <si>
    <t>R$ 60,90</t>
  </si>
  <si>
    <t>547</t>
  </si>
  <si>
    <t>R$ 93,70</t>
  </si>
  <si>
    <t>552</t>
  </si>
  <si>
    <t>R$ 159,28</t>
  </si>
  <si>
    <t>542</t>
  </si>
  <si>
    <t>R$ 237,98</t>
  </si>
  <si>
    <t>541</t>
  </si>
  <si>
    <t>R$ 315,84</t>
  </si>
  <si>
    <t>540</t>
  </si>
  <si>
    <t>R$ 469,76</t>
  </si>
  <si>
    <t>539</t>
  </si>
  <si>
    <t>R$ 686,05</t>
  </si>
  <si>
    <t>ARRUELA LISA ZINCADA</t>
  </si>
  <si>
    <t>ARRUELA PRESSÃO ZINCADA</t>
  </si>
  <si>
    <t>214</t>
  </si>
  <si>
    <t>R$  3,49</t>
  </si>
  <si>
    <t>180</t>
  </si>
  <si>
    <t>R$  2,94</t>
  </si>
  <si>
    <t>211</t>
  </si>
  <si>
    <t>R$  4,88</t>
  </si>
  <si>
    <t>179</t>
  </si>
  <si>
    <t>R$  4,13</t>
  </si>
  <si>
    <t>217</t>
  </si>
  <si>
    <t>R$  5,76</t>
  </si>
  <si>
    <t>183</t>
  </si>
  <si>
    <t>R$  4,96</t>
  </si>
  <si>
    <t>216</t>
  </si>
  <si>
    <t>R$  9,34</t>
  </si>
  <si>
    <t>182</t>
  </si>
  <si>
    <t>R$  5,28</t>
  </si>
  <si>
    <t>219</t>
  </si>
  <si>
    <t>R$  21,76</t>
  </si>
  <si>
    <t>185</t>
  </si>
  <si>
    <t>R$  16,00</t>
  </si>
  <si>
    <t>210</t>
  </si>
  <si>
    <t>R$  37,50</t>
  </si>
  <si>
    <t>178</t>
  </si>
  <si>
    <t>R$  20,00</t>
  </si>
  <si>
    <t>221</t>
  </si>
  <si>
    <t>R$  41,39</t>
  </si>
  <si>
    <t>7391</t>
  </si>
  <si>
    <t>R$  23,36</t>
  </si>
  <si>
    <t>218</t>
  </si>
  <si>
    <t>R$  51,07</t>
  </si>
  <si>
    <t>184</t>
  </si>
  <si>
    <t>R$  35,92</t>
  </si>
  <si>
    <t>215</t>
  </si>
  <si>
    <t>R$  66,67</t>
  </si>
  <si>
    <t>181</t>
  </si>
  <si>
    <t>R$  61,25</t>
  </si>
  <si>
    <t>220</t>
  </si>
  <si>
    <t>R$  85,73</t>
  </si>
  <si>
    <t>186</t>
  </si>
  <si>
    <t>R$  94,03</t>
  </si>
  <si>
    <t>209</t>
  </si>
  <si>
    <t>R$  109,10</t>
  </si>
  <si>
    <t>3581</t>
  </si>
  <si>
    <t>R$  123,15</t>
  </si>
  <si>
    <t>207</t>
  </si>
  <si>
    <t>R$  143,92</t>
  </si>
  <si>
    <t xml:space="preserve">   IPI   :  6,50 %  (  à  incluir )</t>
  </si>
  <si>
    <t>7392</t>
  </si>
  <si>
    <t>R$  191,15</t>
  </si>
  <si>
    <t>206</t>
  </si>
  <si>
    <t>R$  159,90</t>
  </si>
  <si>
    <t>7393</t>
  </si>
  <si>
    <t>R$  305,86</t>
  </si>
  <si>
    <t>205</t>
  </si>
  <si>
    <t>R$  205,60</t>
  </si>
  <si>
    <t xml:space="preserve">   NCM :   7318.15.00</t>
  </si>
  <si>
    <t>7394</t>
  </si>
  <si>
    <t>R$  841,14</t>
  </si>
  <si>
    <t>PARAFUSO LENTILHA FENDA ZINCADO</t>
  </si>
  <si>
    <t>PARAFUSO LENTILHA TRAVA ZINCADO</t>
  </si>
  <si>
    <t>330</t>
  </si>
  <si>
    <t>1/4"  x 1/2"</t>
  </si>
  <si>
    <t>R$  12,16</t>
  </si>
  <si>
    <t>345</t>
  </si>
  <si>
    <t>332</t>
  </si>
  <si>
    <t>1/4"  x 5/8"</t>
  </si>
  <si>
    <t>R$  13,04</t>
  </si>
  <si>
    <t>347</t>
  </si>
  <si>
    <t>331</t>
  </si>
  <si>
    <t>1/4"  x 3/4"</t>
  </si>
  <si>
    <t>R$  14,08</t>
  </si>
  <si>
    <t>346</t>
  </si>
  <si>
    <t>337</t>
  </si>
  <si>
    <t>5/16"x 1/2"</t>
  </si>
  <si>
    <t>R$  20,64</t>
  </si>
  <si>
    <t>355</t>
  </si>
  <si>
    <t>338</t>
  </si>
  <si>
    <t>5/16"x 3/4"</t>
  </si>
  <si>
    <t>R$  23,68</t>
  </si>
  <si>
    <t>356</t>
  </si>
  <si>
    <t>333</t>
  </si>
  <si>
    <t>3/8"  x 1/2"</t>
  </si>
  <si>
    <t>R$  32,16</t>
  </si>
  <si>
    <t>350</t>
  </si>
  <si>
    <t>4630</t>
  </si>
  <si>
    <t>3/8"  x 3/4"</t>
  </si>
  <si>
    <t>R$  37,44</t>
  </si>
  <si>
    <t>351</t>
  </si>
  <si>
    <t>CHUMBADOR "CB" C/ PARAFUSO ZINCADO</t>
  </si>
  <si>
    <t>JAQUETA E CONE ZINCADO</t>
  </si>
  <si>
    <t>3353</t>
  </si>
  <si>
    <t xml:space="preserve">  1/4" x 2"</t>
  </si>
  <si>
    <t>R$ 0,84</t>
  </si>
  <si>
    <t>263</t>
  </si>
  <si>
    <t>R$ 0,48</t>
  </si>
  <si>
    <t>3362</t>
  </si>
  <si>
    <t>5/16" x 2.1/4"</t>
  </si>
  <si>
    <t>266</t>
  </si>
  <si>
    <t>3360</t>
  </si>
  <si>
    <t xml:space="preserve">  3/8" x 2.1/2"</t>
  </si>
  <si>
    <t>R$ 1,65</t>
  </si>
  <si>
    <t>265</t>
  </si>
  <si>
    <t>R$ 0,75</t>
  </si>
  <si>
    <t>3351</t>
  </si>
  <si>
    <t xml:space="preserve">  1/2" x 3"</t>
  </si>
  <si>
    <t>R$ 5,21</t>
  </si>
  <si>
    <t>262</t>
  </si>
  <si>
    <t xml:space="preserve">        1/2''  NC</t>
  </si>
  <si>
    <t>R$ 2,88</t>
  </si>
  <si>
    <t>3367</t>
  </si>
  <si>
    <t xml:space="preserve">  5/8" x 3.1/2"</t>
  </si>
  <si>
    <t>R$ 10,79</t>
  </si>
  <si>
    <t>267</t>
  </si>
  <si>
    <t>5/8''</t>
  </si>
  <si>
    <t>R$ 6,88</t>
  </si>
  <si>
    <t>PORCA LOSANGULAR C/ ROSCA ZINCADA</t>
  </si>
  <si>
    <t>PORCA LOSANGULAR C/ MOLA ZINCADA</t>
  </si>
  <si>
    <t>522</t>
  </si>
  <si>
    <t>R$ 0,51</t>
  </si>
  <si>
    <t>501</t>
  </si>
  <si>
    <t>R$ 1,07</t>
  </si>
  <si>
    <t>524</t>
  </si>
  <si>
    <t>R$ 1,04</t>
  </si>
  <si>
    <t>503</t>
  </si>
  <si>
    <t>R$ 1,44</t>
  </si>
  <si>
    <t>523</t>
  </si>
  <si>
    <t>502</t>
  </si>
  <si>
    <t>PORCA LOSANGULAR C/ PINO ZINCADO</t>
  </si>
  <si>
    <t>509</t>
  </si>
  <si>
    <t>R$ 0,78</t>
  </si>
  <si>
    <t>512</t>
  </si>
  <si>
    <t>R$ 1,46</t>
  </si>
  <si>
    <t>511</t>
  </si>
  <si>
    <t>PARAFUSO SEXTAVADO ZINCADO</t>
  </si>
  <si>
    <t>PARAFUSO BROCANTE C/ VEDAÇÃO ZINCADO</t>
  </si>
  <si>
    <t>400</t>
  </si>
  <si>
    <t>1/4" x 1"</t>
  </si>
  <si>
    <t>R$ 14,83</t>
  </si>
  <si>
    <t>295</t>
  </si>
  <si>
    <t>10 x 3/4 (4.8 x 19)</t>
  </si>
  <si>
    <t>R$ 15,42</t>
  </si>
  <si>
    <t>397</t>
  </si>
  <si>
    <t>1/4" x 1 1/2"</t>
  </si>
  <si>
    <t>R$ 19,52</t>
  </si>
  <si>
    <t>297</t>
  </si>
  <si>
    <t>12 x 3/4 (5.5 x 19)</t>
  </si>
  <si>
    <t>R$ 17,47</t>
  </si>
  <si>
    <t>402</t>
  </si>
  <si>
    <t>1/4" x 2"</t>
  </si>
  <si>
    <t>R$ 24,38</t>
  </si>
  <si>
    <t>296</t>
  </si>
  <si>
    <t>12 x 1 (5.5 x 25)</t>
  </si>
  <si>
    <t>R$ 18,83</t>
  </si>
  <si>
    <t>429</t>
  </si>
  <si>
    <t>5/16" x 1"</t>
  </si>
  <si>
    <t>6338</t>
  </si>
  <si>
    <t>12 x 1 1/2 (5.5 x 38)</t>
  </si>
  <si>
    <t>R$ 24,70</t>
  </si>
  <si>
    <t>12354</t>
  </si>
  <si>
    <t>5/16" x 1 1/2"</t>
  </si>
  <si>
    <t>R$ 31,22</t>
  </si>
  <si>
    <t>10267</t>
  </si>
  <si>
    <t>12 x 2 (5.5 x 50)</t>
  </si>
  <si>
    <t>R$ 33,84</t>
  </si>
  <si>
    <t>432</t>
  </si>
  <si>
    <t>5/16" x 2"</t>
  </si>
  <si>
    <t>R$ 39,02</t>
  </si>
  <si>
    <t>300</t>
  </si>
  <si>
    <t>14 x 3/4 (6.3 x 19)</t>
  </si>
  <si>
    <t>R$ 24,66</t>
  </si>
  <si>
    <t>430</t>
  </si>
  <si>
    <t>5/16" x 2 1/2"</t>
  </si>
  <si>
    <t>R$ 42,93</t>
  </si>
  <si>
    <t>299</t>
  </si>
  <si>
    <t>14 x 1 (6.3 x 25)</t>
  </si>
  <si>
    <t>R$ 29,71</t>
  </si>
  <si>
    <t>420</t>
  </si>
  <si>
    <t>3/8" x 1"</t>
  </si>
  <si>
    <t>R$ 36,10</t>
  </si>
  <si>
    <t>298</t>
  </si>
  <si>
    <t>14 x 1 1/2 (6.3 x 38)</t>
  </si>
  <si>
    <t>R$ 49,81</t>
  </si>
  <si>
    <t>418</t>
  </si>
  <si>
    <t>3/8" x 1 1/2"</t>
  </si>
  <si>
    <t>R$ 46,83</t>
  </si>
  <si>
    <t>10212</t>
  </si>
  <si>
    <t>14 x 2 (6.3 x 50)</t>
  </si>
  <si>
    <t>R$ 43,41</t>
  </si>
  <si>
    <t>423</t>
  </si>
  <si>
    <t>3/8" x 2"</t>
  </si>
  <si>
    <t>R$ 57,57</t>
  </si>
  <si>
    <t>422</t>
  </si>
  <si>
    <t>3/8" x 2 1/2"</t>
  </si>
  <si>
    <t>R$ 68,29</t>
  </si>
  <si>
    <t>393</t>
  </si>
  <si>
    <t>1/2 x 3"</t>
  </si>
  <si>
    <t>R$ 147,14</t>
  </si>
  <si>
    <t>439</t>
  </si>
  <si>
    <t>5/8" x 3 1/2"</t>
  </si>
  <si>
    <t>R$ 273,52</t>
  </si>
  <si>
    <t>412</t>
  </si>
  <si>
    <t>3/4" x 3 1/2"</t>
  </si>
  <si>
    <t>R$ 424,42</t>
  </si>
  <si>
    <t>453</t>
  </si>
  <si>
    <t>7/8 x 4"</t>
  </si>
  <si>
    <t>R$ 682,90</t>
  </si>
  <si>
    <t>BARRA ROSCADA POLEGADA X 1000 INOX 304</t>
  </si>
  <si>
    <t>BARRA ROSCADA POLEGADA X 3000 INOX 304</t>
  </si>
  <si>
    <t>2216</t>
  </si>
  <si>
    <t>2266</t>
  </si>
  <si>
    <t>2226</t>
  </si>
  <si>
    <t>2247</t>
  </si>
  <si>
    <t>2269</t>
  </si>
  <si>
    <t>2168</t>
  </si>
  <si>
    <t>11707</t>
  </si>
  <si>
    <t>2169</t>
  </si>
  <si>
    <t>2177</t>
  </si>
  <si>
    <t>2276</t>
  </si>
  <si>
    <t>2178</t>
  </si>
  <si>
    <t>2240</t>
  </si>
  <si>
    <t>2284</t>
  </si>
  <si>
    <t>2244</t>
  </si>
  <si>
    <t>PORCA SEXTAVADA INOX 304</t>
  </si>
  <si>
    <t>ARRUELA LISA INOX 304</t>
  </si>
  <si>
    <t>567</t>
  </si>
  <si>
    <t>R$  23,54</t>
  </si>
  <si>
    <t>566</t>
  </si>
  <si>
    <t>R$  23,02</t>
  </si>
  <si>
    <t>6863</t>
  </si>
  <si>
    <t>R$  8,16</t>
  </si>
  <si>
    <t>570</t>
  </si>
  <si>
    <t>R$  33,02</t>
  </si>
  <si>
    <t>230</t>
  </si>
  <si>
    <t>R$  11,68</t>
  </si>
  <si>
    <t>569</t>
  </si>
  <si>
    <t>R$  48,02</t>
  </si>
  <si>
    <t>232</t>
  </si>
  <si>
    <t>565</t>
  </si>
  <si>
    <t>R$  114,72</t>
  </si>
  <si>
    <t>231</t>
  </si>
  <si>
    <t>R$  20,32</t>
  </si>
  <si>
    <t>4585</t>
  </si>
  <si>
    <t>229</t>
  </si>
  <si>
    <t xml:space="preserve"> R$  29,28 </t>
  </si>
  <si>
    <t>12351</t>
  </si>
  <si>
    <t>R$  194,08</t>
  </si>
  <si>
    <t>3588</t>
  </si>
  <si>
    <t>R$  79,04</t>
  </si>
  <si>
    <t>571</t>
  </si>
  <si>
    <t>R$  215,25</t>
  </si>
  <si>
    <t>4982</t>
  </si>
  <si>
    <t>R$  124,32</t>
  </si>
  <si>
    <t>568</t>
  </si>
  <si>
    <t>R$  368,96</t>
  </si>
  <si>
    <t xml:space="preserve">           IPI       :   6,50 %  (  à  incluir )</t>
  </si>
  <si>
    <t>12352</t>
  </si>
  <si>
    <t>R$  598,88</t>
  </si>
  <si>
    <t xml:space="preserve">           NCM  :   7318.15.00</t>
  </si>
  <si>
    <t xml:space="preserve">   IPI      :   5 %  (  à  incluir )</t>
  </si>
  <si>
    <t xml:space="preserve">   NCM  :   7326.90.90</t>
  </si>
  <si>
    <t>BRAÇADEIRA TIPO "D" C/ PARAFUSO ZINCADA</t>
  </si>
  <si>
    <t>BRAÇADEIRA TIPO "D" C/ CUNHA ZINCADA</t>
  </si>
  <si>
    <t>3422</t>
  </si>
  <si>
    <t>R$ 0,53</t>
  </si>
  <si>
    <t>51</t>
  </si>
  <si>
    <t>R$ 0,54</t>
  </si>
  <si>
    <t>3437</t>
  </si>
  <si>
    <t>R$ 0,58</t>
  </si>
  <si>
    <t>56</t>
  </si>
  <si>
    <t>R$ 0,59</t>
  </si>
  <si>
    <t>3420</t>
  </si>
  <si>
    <t>R$ 0,63</t>
  </si>
  <si>
    <t>50</t>
  </si>
  <si>
    <t>R$ 0,64</t>
  </si>
  <si>
    <t>3416</t>
  </si>
  <si>
    <t>11/4"</t>
  </si>
  <si>
    <t>R$ 1,06</t>
  </si>
  <si>
    <t>49</t>
  </si>
  <si>
    <t>R$ 0,99</t>
  </si>
  <si>
    <t>3413</t>
  </si>
  <si>
    <t>11/2"</t>
  </si>
  <si>
    <t>R$ 1,16</t>
  </si>
  <si>
    <t>48</t>
  </si>
  <si>
    <t>R$ 1,09</t>
  </si>
  <si>
    <t>3430</t>
  </si>
  <si>
    <t>2"</t>
  </si>
  <si>
    <t>R$ 1,32</t>
  </si>
  <si>
    <t>53</t>
  </si>
  <si>
    <t>R$ 1,20</t>
  </si>
  <si>
    <t>3426</t>
  </si>
  <si>
    <t>21/2"</t>
  </si>
  <si>
    <t>R$ 1,88</t>
  </si>
  <si>
    <t>52</t>
  </si>
  <si>
    <t>R$ 2,00</t>
  </si>
  <si>
    <t>3434</t>
  </si>
  <si>
    <t>3"</t>
  </si>
  <si>
    <t>R$ 2,52</t>
  </si>
  <si>
    <t>55</t>
  </si>
  <si>
    <t>R$ 2,64</t>
  </si>
  <si>
    <t>3431</t>
  </si>
  <si>
    <t>31/2"</t>
  </si>
  <si>
    <t>R$ 3,13</t>
  </si>
  <si>
    <t>54</t>
  </si>
  <si>
    <t>R$ 2,72</t>
  </si>
  <si>
    <t>3441</t>
  </si>
  <si>
    <t>4"</t>
  </si>
  <si>
    <t>R$ 3,61</t>
  </si>
  <si>
    <t>57</t>
  </si>
  <si>
    <t>BRAÇADEIRA TIPO ECONÔMICA ZINCADA</t>
  </si>
  <si>
    <t>BRAÇADEIRA TIPO "U" PERFIL C/ PARAUSO</t>
  </si>
  <si>
    <t>116</t>
  </si>
  <si>
    <t>3385</t>
  </si>
  <si>
    <t>R$ 0,60</t>
  </si>
  <si>
    <t>124</t>
  </si>
  <si>
    <t>3403</t>
  </si>
  <si>
    <t>R$ 0,76</t>
  </si>
  <si>
    <t>115</t>
  </si>
  <si>
    <t>R$ 0,72</t>
  </si>
  <si>
    <t>3380</t>
  </si>
  <si>
    <t>R$ 0,83</t>
  </si>
  <si>
    <t>114</t>
  </si>
  <si>
    <t>3379</t>
  </si>
  <si>
    <t>113</t>
  </si>
  <si>
    <t>R$ 1,12</t>
  </si>
  <si>
    <t>3374</t>
  </si>
  <si>
    <t>R$ 1,37</t>
  </si>
  <si>
    <t>121</t>
  </si>
  <si>
    <t>R$ 1,31</t>
  </si>
  <si>
    <t>3394</t>
  </si>
  <si>
    <t>R$ 1,57</t>
  </si>
  <si>
    <t>120</t>
  </si>
  <si>
    <t>R$ 1,52</t>
  </si>
  <si>
    <t>3390</t>
  </si>
  <si>
    <t>R$ 1,90</t>
  </si>
  <si>
    <t>123</t>
  </si>
  <si>
    <t>R$ 1,92</t>
  </si>
  <si>
    <t>3399</t>
  </si>
  <si>
    <t>R$ 2,11</t>
  </si>
  <si>
    <t>122</t>
  </si>
  <si>
    <t>R$ 2,16</t>
  </si>
  <si>
    <t>3395</t>
  </si>
  <si>
    <t>R$ 2,32</t>
  </si>
  <si>
    <t>126</t>
  </si>
  <si>
    <t>R$ 2,35</t>
  </si>
  <si>
    <t>3406</t>
  </si>
  <si>
    <t>R$ 2,55</t>
  </si>
  <si>
    <t>128</t>
  </si>
  <si>
    <t>5"</t>
  </si>
  <si>
    <t>R$ 3,20</t>
  </si>
  <si>
    <t>3411</t>
  </si>
  <si>
    <t>6"</t>
  </si>
  <si>
    <t>R$ 4,91</t>
  </si>
  <si>
    <t>130</t>
  </si>
  <si>
    <t>R$ 4,86</t>
  </si>
  <si>
    <t>5501</t>
  </si>
  <si>
    <t>8"</t>
  </si>
  <si>
    <t>R$ 6,09</t>
  </si>
  <si>
    <t>131</t>
  </si>
  <si>
    <t>R$ 8,45</t>
  </si>
  <si>
    <t>3387</t>
  </si>
  <si>
    <t>10"</t>
  </si>
  <si>
    <t>R$ 7,39</t>
  </si>
  <si>
    <t>118</t>
  </si>
  <si>
    <t>R$ 13,76</t>
  </si>
  <si>
    <t>BRAÇADEIRA TIPO UNIÃO HORIZINTAL ZINCADA</t>
  </si>
  <si>
    <t>BRAÇADEIRA TIPO UNIÃO VERTICAL ZINCADA</t>
  </si>
  <si>
    <t>3243</t>
  </si>
  <si>
    <t>R$ 4,14</t>
  </si>
  <si>
    <t>3310</t>
  </si>
  <si>
    <t>3274</t>
  </si>
  <si>
    <t>R$ 4,42</t>
  </si>
  <si>
    <t>3326</t>
  </si>
  <si>
    <t>3241</t>
  </si>
  <si>
    <t>R$ 4,73</t>
  </si>
  <si>
    <t>3305</t>
  </si>
  <si>
    <t>3238</t>
  </si>
  <si>
    <t>R$ 5,19</t>
  </si>
  <si>
    <t>3302</t>
  </si>
  <si>
    <t>3234</t>
  </si>
  <si>
    <t>R$ 5,50</t>
  </si>
  <si>
    <t>3300</t>
  </si>
  <si>
    <t>3265</t>
  </si>
  <si>
    <t>R$ 8,19</t>
  </si>
  <si>
    <t>3317</t>
  </si>
  <si>
    <t>3261</t>
  </si>
  <si>
    <t>R$ 8,87</t>
  </si>
  <si>
    <t>3315</t>
  </si>
  <si>
    <t>3271</t>
  </si>
  <si>
    <t>R$ 10,12</t>
  </si>
  <si>
    <t>3325</t>
  </si>
  <si>
    <t>3267</t>
  </si>
  <si>
    <t>R$ 11,96</t>
  </si>
  <si>
    <t>3321</t>
  </si>
  <si>
    <t>3275</t>
  </si>
  <si>
    <t>R$ 13,10</t>
  </si>
  <si>
    <t>3329</t>
  </si>
  <si>
    <t>3278</t>
  </si>
  <si>
    <t>R$ 14,70</t>
  </si>
  <si>
    <t>3334</t>
  </si>
  <si>
    <t>3283</t>
  </si>
  <si>
    <t>R$ 19,15</t>
  </si>
  <si>
    <t>3336</t>
  </si>
  <si>
    <t>3284</t>
  </si>
  <si>
    <t>R$ 37,61</t>
  </si>
  <si>
    <t>3338</t>
  </si>
  <si>
    <t>3247</t>
  </si>
  <si>
    <t>R$ 42,95</t>
  </si>
  <si>
    <t>3312</t>
  </si>
  <si>
    <t>3251</t>
  </si>
  <si>
    <t>12"</t>
  </si>
  <si>
    <t>R$ 47,64</t>
  </si>
  <si>
    <t>5426</t>
  </si>
  <si>
    <t>BRAÇADEIRA TIPO ÔMEGA ZINCADA</t>
  </si>
  <si>
    <t>7655</t>
  </si>
  <si>
    <t>6781</t>
  </si>
  <si>
    <t>R$ 1,22</t>
  </si>
  <si>
    <t>6780</t>
  </si>
  <si>
    <t>R$ 1,41</t>
  </si>
  <si>
    <t>6782</t>
  </si>
  <si>
    <t>R$ 1,60</t>
  </si>
  <si>
    <t>6783</t>
  </si>
  <si>
    <t>7656</t>
  </si>
  <si>
    <t>R$ 2,42</t>
  </si>
  <si>
    <t>7657</t>
  </si>
  <si>
    <t>R$ 2,90</t>
  </si>
  <si>
    <t>7658</t>
  </si>
  <si>
    <t>R$ 3,34</t>
  </si>
  <si>
    <t>7659</t>
  </si>
  <si>
    <t>R$ 4,77</t>
  </si>
  <si>
    <t>7660</t>
  </si>
  <si>
    <t>R$ 5,10</t>
  </si>
  <si>
    <t>7661</t>
  </si>
  <si>
    <t>R$ 6,06</t>
  </si>
  <si>
    <t>7662</t>
  </si>
  <si>
    <t>R$ 7,28</t>
  </si>
  <si>
    <t>7663</t>
  </si>
  <si>
    <t>R$ 9,47</t>
  </si>
  <si>
    <t>7664</t>
  </si>
  <si>
    <t>R$ 12,69</t>
  </si>
  <si>
    <t>7665</t>
  </si>
  <si>
    <t>R$ 15,39</t>
  </si>
  <si>
    <t>GRAMPO "C"  / BALANCIM</t>
  </si>
  <si>
    <t>SUPORTE MEDAJOIST</t>
  </si>
  <si>
    <t>Descrição</t>
  </si>
  <si>
    <t xml:space="preserve">           IPI      :   ISENTO</t>
  </si>
  <si>
    <t>5018</t>
  </si>
  <si>
    <t>Grampo "C" completo</t>
  </si>
  <si>
    <t>SUPORTE MEDAJOIST CURTO</t>
  </si>
  <si>
    <t>4592</t>
  </si>
  <si>
    <t>Grampo "C"</t>
  </si>
  <si>
    <t xml:space="preserve">           NCM  :   7308.90.10</t>
  </si>
  <si>
    <t>SUPORTE MEDAJOIST 1000</t>
  </si>
  <si>
    <t>233</t>
  </si>
  <si>
    <t xml:space="preserve">Balancim </t>
  </si>
  <si>
    <t>SUPORTE MEDAJOIST 732</t>
  </si>
  <si>
    <t>Embalage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</si>
</sst>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.00_-;&quot;-R$ &quot;* #,##0.00_-;_-&quot;R$ &quot;* \-??_-;_-@"/>
  </numFmts>
  <fonts count="7" x14ac:knownFonts="1">
    <font>
      <sz val="11"/>
      <color rgb="FF000000"/>
      <name val="Calibri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164" fontId="6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/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0</xdr:row>
      <xdr:rowOff>0</xdr:rowOff>
    </xdr:from>
    <xdr:ext cx="638175" cy="63246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0</xdr:row>
      <xdr:rowOff>0</xdr:rowOff>
    </xdr:from>
    <xdr:ext cx="504825" cy="3276600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18</xdr:row>
      <xdr:rowOff>19050</xdr:rowOff>
    </xdr:from>
    <xdr:ext cx="333375" cy="742950"/>
    <xdr:pic>
      <xdr:nvPicPr>
        <xdr:cNvPr id="4" name="image2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14</xdr:row>
      <xdr:rowOff>19050</xdr:rowOff>
    </xdr:from>
    <xdr:ext cx="704850" cy="1609725"/>
    <xdr:pic>
      <xdr:nvPicPr>
        <xdr:cNvPr id="5" name="image2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33</xdr:row>
      <xdr:rowOff>28575</xdr:rowOff>
    </xdr:from>
    <xdr:ext cx="742950" cy="819150"/>
    <xdr:pic>
      <xdr:nvPicPr>
        <xdr:cNvPr id="6" name="image2.png" title="Imag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46</xdr:row>
      <xdr:rowOff>9525</xdr:rowOff>
    </xdr:from>
    <xdr:ext cx="685800" cy="666750"/>
    <xdr:pic>
      <xdr:nvPicPr>
        <xdr:cNvPr id="7" name="image1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66</xdr:row>
      <xdr:rowOff>161925</xdr:rowOff>
    </xdr:from>
    <xdr:ext cx="657225" cy="1152525"/>
    <xdr:pic>
      <xdr:nvPicPr>
        <xdr:cNvPr id="8" name="image23.png" title="Image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67</xdr:row>
      <xdr:rowOff>95250</xdr:rowOff>
    </xdr:from>
    <xdr:ext cx="676275" cy="1228725"/>
    <xdr:pic>
      <xdr:nvPicPr>
        <xdr:cNvPr id="9" name="image1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79</xdr:row>
      <xdr:rowOff>57150</xdr:rowOff>
    </xdr:from>
    <xdr:ext cx="466725" cy="9620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78</xdr:row>
      <xdr:rowOff>123825</xdr:rowOff>
    </xdr:from>
    <xdr:ext cx="323850" cy="895350"/>
    <xdr:pic>
      <xdr:nvPicPr>
        <xdr:cNvPr id="11" name="image3.png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87</xdr:row>
      <xdr:rowOff>0</xdr:rowOff>
    </xdr:from>
    <xdr:ext cx="457200" cy="714375"/>
    <xdr:pic>
      <xdr:nvPicPr>
        <xdr:cNvPr id="12" name="image1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87</xdr:row>
      <xdr:rowOff>95250</xdr:rowOff>
    </xdr:from>
    <xdr:ext cx="628650" cy="828675"/>
    <xdr:pic>
      <xdr:nvPicPr>
        <xdr:cNvPr id="13" name="image9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94</xdr:row>
      <xdr:rowOff>9525</xdr:rowOff>
    </xdr:from>
    <xdr:ext cx="838200" cy="800100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152</xdr:row>
      <xdr:rowOff>57150</xdr:rowOff>
    </xdr:from>
    <xdr:ext cx="771525" cy="914400"/>
    <xdr:pic>
      <xdr:nvPicPr>
        <xdr:cNvPr id="15" name="image1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155</xdr:row>
      <xdr:rowOff>76200</xdr:rowOff>
    </xdr:from>
    <xdr:ext cx="723900" cy="876300"/>
    <xdr:pic>
      <xdr:nvPicPr>
        <xdr:cNvPr id="16" name="image2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167</xdr:row>
      <xdr:rowOff>57150</xdr:rowOff>
    </xdr:from>
    <xdr:ext cx="733425" cy="1019175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172</xdr:row>
      <xdr:rowOff>114300</xdr:rowOff>
    </xdr:from>
    <xdr:ext cx="704850" cy="1019175"/>
    <xdr:pic>
      <xdr:nvPicPr>
        <xdr:cNvPr id="18" name="image1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185</xdr:row>
      <xdr:rowOff>0</xdr:rowOff>
    </xdr:from>
    <xdr:ext cx="847725" cy="981075"/>
    <xdr:pic>
      <xdr:nvPicPr>
        <xdr:cNvPr id="19" name="image2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189</xdr:row>
      <xdr:rowOff>85725</xdr:rowOff>
    </xdr:from>
    <xdr:ext cx="742950" cy="1162050"/>
    <xdr:pic>
      <xdr:nvPicPr>
        <xdr:cNvPr id="20" name="image2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203</xdr:row>
      <xdr:rowOff>85725</xdr:rowOff>
    </xdr:from>
    <xdr:ext cx="1085850" cy="695325"/>
    <xdr:pic>
      <xdr:nvPicPr>
        <xdr:cNvPr id="21" name="image26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226</xdr:row>
      <xdr:rowOff>76200</xdr:rowOff>
    </xdr:from>
    <xdr:ext cx="361950" cy="485775"/>
    <xdr:pic>
      <xdr:nvPicPr>
        <xdr:cNvPr id="22" name="image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52</xdr:row>
      <xdr:rowOff>0</xdr:rowOff>
    </xdr:from>
    <xdr:ext cx="752475" cy="7334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226</xdr:row>
      <xdr:rowOff>76200</xdr:rowOff>
    </xdr:from>
    <xdr:ext cx="466725" cy="600075"/>
    <xdr:pic>
      <xdr:nvPicPr>
        <xdr:cNvPr id="24" name="image15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226</xdr:row>
      <xdr:rowOff>66675</xdr:rowOff>
    </xdr:from>
    <xdr:ext cx="1381125" cy="619125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226</xdr:row>
      <xdr:rowOff>38100</xdr:rowOff>
    </xdr:from>
    <xdr:ext cx="1285875" cy="638175"/>
    <xdr:pic>
      <xdr:nvPicPr>
        <xdr:cNvPr id="26" name="image1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135</xdr:row>
      <xdr:rowOff>19050</xdr:rowOff>
    </xdr:from>
    <xdr:ext cx="523875" cy="533400"/>
    <xdr:pic>
      <xdr:nvPicPr>
        <xdr:cNvPr id="28" name="image2.png" title="Imagem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140</xdr:row>
      <xdr:rowOff>19050</xdr:rowOff>
    </xdr:from>
    <xdr:ext cx="523875" cy="533400"/>
    <xdr:pic>
      <xdr:nvPicPr>
        <xdr:cNvPr id="29" name="image4.png" title="Imagem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110</xdr:row>
      <xdr:rowOff>85725</xdr:rowOff>
    </xdr:from>
    <xdr:ext cx="638175" cy="952500"/>
    <xdr:pic>
      <xdr:nvPicPr>
        <xdr:cNvPr id="30" name="image10.png" title="Imagem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104</xdr:row>
      <xdr:rowOff>85725</xdr:rowOff>
    </xdr:from>
    <xdr:ext cx="361950" cy="733425"/>
    <xdr:pic>
      <xdr:nvPicPr>
        <xdr:cNvPr id="31" name="image27.png" title="Imagem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43815</xdr:colOff>
      <xdr:row>147</xdr:row>
      <xdr:rowOff>0</xdr:rowOff>
    </xdr:from>
    <xdr:ext cx="1571625" cy="1952625"/>
    <xdr:pic>
      <xdr:nvPicPr>
        <xdr:cNvPr id="32" name="image21.png" title="Imagem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172075" y="37227510"/>
          <a:ext cx="1571625" cy="1952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2"/>
  <sheetViews>
    <sheetView tabSelected="1" workbookViewId="0">
      <selection activeCell="A92" sqref="A1:XFD92"/>
    </sheetView>
  </sheetViews>
  <sheetFormatPr defaultColWidth="14.453125" defaultRowHeight="15" customHeight="1" x14ac:dyDescent="0.35"/>
  <cols>
    <col min="1" max="1" width="6.90625" customWidth="1"/>
    <col min="2" max="2" width="10" customWidth="1"/>
    <col min="3" max="3" width="8.54296875" customWidth="1"/>
    <col min="4" max="4" width="7.90625" customWidth="1"/>
    <col min="5" max="5" width="5.1796875" customWidth="1"/>
    <col min="6" max="6" width="9.54296875" customWidth="1"/>
    <col min="7" max="7" width="10" customWidth="1"/>
    <col min="8" max="8" width="8" customWidth="1"/>
    <col min="9" max="9" width="8.6328125" customWidth="1"/>
    <col min="10" max="10" width="9.81640625" customWidth="1"/>
    <col min="11" max="11" width="7" customWidth="1"/>
    <col min="12" max="14" width="8.90625" customWidth="1"/>
    <col min="15" max="26" width="8.6328125" customWidth="1"/>
  </cols>
  <sheetData>
    <row r="1" spans="1:26" ht="9.75" customHeight="1" x14ac:dyDescent="0.35">
      <c r="E1" s="8"/>
      <c r="F1" s="1"/>
      <c r="G1" s="1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35">
      <c r="A2" s="38" t="s">
        <v>19</v>
      </c>
      <c r="B2" s="39"/>
      <c r="C2" s="39"/>
      <c r="D2" s="39"/>
      <c r="E2" s="8"/>
      <c r="F2" s="1"/>
      <c r="G2" s="1"/>
      <c r="H2" s="38" t="s">
        <v>20</v>
      </c>
      <c r="I2" s="39"/>
      <c r="J2" s="39"/>
      <c r="K2" s="39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35">
      <c r="A3" s="39"/>
      <c r="B3" s="39"/>
      <c r="C3" s="39"/>
      <c r="D3" s="39"/>
      <c r="E3" s="8"/>
      <c r="F3" s="1"/>
      <c r="G3" s="1"/>
      <c r="H3" s="44"/>
      <c r="I3" s="44"/>
      <c r="J3" s="44"/>
      <c r="K3" s="44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x14ac:dyDescent="0.35">
      <c r="A4" s="4" t="s">
        <v>0</v>
      </c>
      <c r="B4" s="4" t="s">
        <v>1</v>
      </c>
      <c r="C4" s="5" t="s">
        <v>21</v>
      </c>
      <c r="D4" s="14"/>
      <c r="E4" s="8"/>
      <c r="F4" s="1"/>
      <c r="G4" s="1"/>
      <c r="H4" s="4" t="s">
        <v>0</v>
      </c>
      <c r="I4" s="4" t="s">
        <v>1</v>
      </c>
      <c r="J4" s="5" t="s">
        <v>21</v>
      </c>
      <c r="K4" s="2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35">
      <c r="A5" s="6" t="s">
        <v>22</v>
      </c>
      <c r="B5" s="4" t="s">
        <v>5</v>
      </c>
      <c r="C5" s="7" t="s">
        <v>23</v>
      </c>
      <c r="D5" s="15"/>
      <c r="E5" s="8"/>
      <c r="F5" s="1"/>
      <c r="G5" s="1"/>
      <c r="H5" s="6" t="s">
        <v>24</v>
      </c>
      <c r="I5" s="4" t="s">
        <v>5</v>
      </c>
      <c r="J5" s="13" t="s">
        <v>25</v>
      </c>
      <c r="K5" s="2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35">
      <c r="A6" s="6" t="s">
        <v>26</v>
      </c>
      <c r="B6" s="4" t="s">
        <v>6</v>
      </c>
      <c r="C6" s="7" t="s">
        <v>27</v>
      </c>
      <c r="D6" s="15"/>
      <c r="E6" s="8"/>
      <c r="F6" s="1"/>
      <c r="G6" s="1"/>
      <c r="H6" s="6" t="s">
        <v>28</v>
      </c>
      <c r="I6" s="4" t="s">
        <v>6</v>
      </c>
      <c r="J6" s="13" t="s">
        <v>29</v>
      </c>
      <c r="K6" s="2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35">
      <c r="A7" s="6" t="s">
        <v>30</v>
      </c>
      <c r="B7" s="4" t="s">
        <v>7</v>
      </c>
      <c r="C7" s="7" t="s">
        <v>31</v>
      </c>
      <c r="D7" s="15"/>
      <c r="E7" s="8"/>
      <c r="F7" s="1"/>
      <c r="G7" s="1"/>
      <c r="H7" s="6" t="s">
        <v>32</v>
      </c>
      <c r="I7" s="4" t="s">
        <v>7</v>
      </c>
      <c r="J7" s="13" t="s">
        <v>33</v>
      </c>
      <c r="K7" s="2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35">
      <c r="A8" s="6" t="s">
        <v>34</v>
      </c>
      <c r="B8" s="4" t="s">
        <v>35</v>
      </c>
      <c r="C8" s="7" t="s">
        <v>36</v>
      </c>
      <c r="D8" s="15"/>
      <c r="E8" s="8"/>
      <c r="F8" s="1"/>
      <c r="G8" s="1"/>
      <c r="H8" s="6" t="s">
        <v>37</v>
      </c>
      <c r="I8" s="4" t="s">
        <v>38</v>
      </c>
      <c r="J8" s="13" t="s">
        <v>39</v>
      </c>
      <c r="K8" s="2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35">
      <c r="A9" s="6" t="s">
        <v>40</v>
      </c>
      <c r="B9" s="4" t="s">
        <v>10</v>
      </c>
      <c r="C9" s="7" t="s">
        <v>36</v>
      </c>
      <c r="D9" s="15"/>
      <c r="E9" s="8"/>
      <c r="F9" s="1"/>
      <c r="G9" s="1"/>
      <c r="H9" s="6" t="s">
        <v>41</v>
      </c>
      <c r="I9" s="4" t="s">
        <v>12</v>
      </c>
      <c r="J9" s="13" t="s">
        <v>42</v>
      </c>
      <c r="K9" s="2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35">
      <c r="A10" s="6" t="s">
        <v>43</v>
      </c>
      <c r="B10" s="4" t="s">
        <v>12</v>
      </c>
      <c r="C10" s="7" t="s">
        <v>44</v>
      </c>
      <c r="D10" s="15"/>
      <c r="E10" s="8"/>
      <c r="F10" s="1"/>
      <c r="G10" s="1"/>
      <c r="H10" s="6" t="s">
        <v>45</v>
      </c>
      <c r="I10" s="4" t="s">
        <v>13</v>
      </c>
      <c r="J10" s="13" t="s">
        <v>46</v>
      </c>
      <c r="K10" s="2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35">
      <c r="A11" s="6" t="s">
        <v>47</v>
      </c>
      <c r="B11" s="4" t="s">
        <v>13</v>
      </c>
      <c r="C11" s="7" t="s">
        <v>48</v>
      </c>
      <c r="D11" s="15"/>
      <c r="E11" s="8"/>
      <c r="F11" s="1"/>
      <c r="G11" s="1"/>
      <c r="H11" s="6" t="s">
        <v>49</v>
      </c>
      <c r="I11" s="4" t="s">
        <v>14</v>
      </c>
      <c r="J11" s="13" t="s">
        <v>50</v>
      </c>
      <c r="K11" s="2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35">
      <c r="A12" s="6" t="s">
        <v>51</v>
      </c>
      <c r="B12" s="4" t="s">
        <v>14</v>
      </c>
      <c r="C12" s="7" t="s">
        <v>52</v>
      </c>
      <c r="D12" s="15"/>
      <c r="E12" s="8"/>
      <c r="F12" s="1"/>
      <c r="G12" s="1"/>
      <c r="H12" s="6" t="s">
        <v>53</v>
      </c>
      <c r="I12" s="4" t="s">
        <v>15</v>
      </c>
      <c r="J12" s="13" t="s">
        <v>48</v>
      </c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35">
      <c r="A13" s="6" t="s">
        <v>54</v>
      </c>
      <c r="B13" s="4" t="s">
        <v>15</v>
      </c>
      <c r="C13" s="7" t="s">
        <v>55</v>
      </c>
      <c r="D13" s="15"/>
      <c r="E13" s="1"/>
      <c r="F13" s="1"/>
      <c r="G13" s="1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35">
      <c r="A14" s="1"/>
      <c r="B14" s="1"/>
      <c r="C14" s="2"/>
      <c r="D14" s="1"/>
      <c r="E14" s="1"/>
      <c r="F14" s="1"/>
      <c r="G14" s="1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35">
      <c r="A15" s="38" t="s">
        <v>56</v>
      </c>
      <c r="B15" s="39"/>
      <c r="C15" s="39"/>
      <c r="D15" s="39"/>
      <c r="E15" s="1"/>
      <c r="F15" s="1"/>
      <c r="G15" s="1"/>
      <c r="H15" s="46" t="s">
        <v>57</v>
      </c>
      <c r="I15" s="39"/>
      <c r="J15" s="39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35">
      <c r="A16" s="39"/>
      <c r="B16" s="39"/>
      <c r="C16" s="39"/>
      <c r="D16" s="39"/>
      <c r="E16" s="1"/>
      <c r="F16" s="1"/>
      <c r="G16" s="1"/>
      <c r="H16" s="44"/>
      <c r="I16" s="44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35">
      <c r="A17" s="4" t="s">
        <v>0</v>
      </c>
      <c r="B17" s="4" t="s">
        <v>1</v>
      </c>
      <c r="C17" s="5" t="s">
        <v>58</v>
      </c>
      <c r="D17" s="14"/>
      <c r="E17" s="1"/>
      <c r="F17" s="1"/>
      <c r="G17" s="1"/>
      <c r="H17" s="4" t="s">
        <v>0</v>
      </c>
      <c r="I17" s="4" t="s">
        <v>1</v>
      </c>
      <c r="J17" s="5" t="s">
        <v>58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35">
      <c r="A18" s="6" t="s">
        <v>59</v>
      </c>
      <c r="B18" s="16" t="s">
        <v>60</v>
      </c>
      <c r="C18" s="13" t="s">
        <v>61</v>
      </c>
      <c r="D18" s="15"/>
      <c r="E18" s="1"/>
      <c r="F18" s="1"/>
      <c r="G18" s="1"/>
      <c r="H18" s="4">
        <v>996</v>
      </c>
      <c r="I18" s="17" t="s">
        <v>62</v>
      </c>
      <c r="J18" s="13">
        <v>1.4104825599999999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35">
      <c r="A19" s="6" t="s">
        <v>63</v>
      </c>
      <c r="B19" s="16" t="s">
        <v>64</v>
      </c>
      <c r="C19" s="13" t="s">
        <v>65</v>
      </c>
      <c r="D19" s="15"/>
      <c r="E19" s="1"/>
      <c r="F19" s="1"/>
      <c r="G19" s="1"/>
      <c r="H19" s="6" t="s">
        <v>66</v>
      </c>
      <c r="I19" s="17" t="s">
        <v>67</v>
      </c>
      <c r="J19" s="13">
        <v>1.5157238399999999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5">
      <c r="A20" s="6" t="s">
        <v>68</v>
      </c>
      <c r="B20" s="16" t="s">
        <v>69</v>
      </c>
      <c r="C20" s="13" t="s">
        <v>70</v>
      </c>
      <c r="D20" s="15"/>
      <c r="E20" s="1"/>
      <c r="F20" s="1"/>
      <c r="G20" s="1"/>
      <c r="H20" s="6" t="s">
        <v>71</v>
      </c>
      <c r="I20" s="17" t="s">
        <v>72</v>
      </c>
      <c r="J20" s="13">
        <v>1.54047424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35">
      <c r="A21" s="6" t="s">
        <v>73</v>
      </c>
      <c r="B21" s="16" t="s">
        <v>74</v>
      </c>
      <c r="C21" s="13" t="s">
        <v>75</v>
      </c>
      <c r="D21" s="15"/>
      <c r="E21" s="1"/>
      <c r="F21" s="1"/>
      <c r="G21" s="1"/>
      <c r="H21" s="6" t="s">
        <v>76</v>
      </c>
      <c r="I21" s="17" t="s">
        <v>77</v>
      </c>
      <c r="J21" s="13">
        <v>1.7107113599999999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35">
      <c r="A22" s="6" t="s">
        <v>78</v>
      </c>
      <c r="B22" s="16" t="s">
        <v>79</v>
      </c>
      <c r="C22" s="13" t="s">
        <v>80</v>
      </c>
      <c r="D22" s="15"/>
      <c r="E22" s="1"/>
      <c r="F22" s="1"/>
      <c r="G22" s="1"/>
      <c r="H22" s="6" t="s">
        <v>81</v>
      </c>
      <c r="I22" s="17" t="s">
        <v>82</v>
      </c>
      <c r="J22" s="13">
        <v>1.7079040000000001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35">
      <c r="A23" s="6" t="s">
        <v>83</v>
      </c>
      <c r="B23" s="16" t="s">
        <v>84</v>
      </c>
      <c r="C23" s="13" t="s">
        <v>85</v>
      </c>
      <c r="D23" s="15"/>
      <c r="E23" s="1"/>
      <c r="F23" s="1"/>
      <c r="G23" s="1"/>
      <c r="H23" s="6" t="s">
        <v>86</v>
      </c>
      <c r="I23" s="17" t="s">
        <v>87</v>
      </c>
      <c r="J23" s="13">
        <v>1.961856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35">
      <c r="A24" s="6" t="s">
        <v>88</v>
      </c>
      <c r="B24" s="16" t="s">
        <v>89</v>
      </c>
      <c r="C24" s="13" t="s">
        <v>90</v>
      </c>
      <c r="D24" s="15"/>
      <c r="E24" s="1"/>
      <c r="F24" s="1"/>
      <c r="G24" s="1"/>
      <c r="H24" s="6" t="s">
        <v>91</v>
      </c>
      <c r="I24" s="17" t="s">
        <v>92</v>
      </c>
      <c r="J24" s="13">
        <v>4.6800710399999996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35">
      <c r="A25" s="6" t="s">
        <v>93</v>
      </c>
      <c r="B25" s="16" t="s">
        <v>94</v>
      </c>
      <c r="C25" s="13" t="s">
        <v>90</v>
      </c>
      <c r="D25" s="15"/>
      <c r="E25" s="1"/>
      <c r="F25" s="1"/>
      <c r="G25" s="1"/>
      <c r="H25" s="6" t="s">
        <v>95</v>
      </c>
      <c r="I25" s="17" t="s">
        <v>96</v>
      </c>
      <c r="J25" s="13">
        <v>5.0534201599999999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35">
      <c r="A26" s="6" t="s">
        <v>97</v>
      </c>
      <c r="B26" s="16" t="s">
        <v>98</v>
      </c>
      <c r="C26" s="13" t="s">
        <v>99</v>
      </c>
      <c r="D26" s="15"/>
      <c r="E26" s="1"/>
      <c r="F26" s="1"/>
      <c r="G26" s="1"/>
      <c r="H26" s="6" t="s">
        <v>100</v>
      </c>
      <c r="I26" s="17" t="s">
        <v>101</v>
      </c>
      <c r="J26" s="13">
        <v>5.0443334399999999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35">
      <c r="A27" s="6" t="s">
        <v>102</v>
      </c>
      <c r="B27" s="16" t="s">
        <v>103</v>
      </c>
      <c r="C27" s="13" t="s">
        <v>25</v>
      </c>
      <c r="D27" s="15"/>
      <c r="E27" s="1"/>
      <c r="F27" s="1"/>
      <c r="G27" s="1"/>
      <c r="H27" s="6" t="s">
        <v>104</v>
      </c>
      <c r="I27" s="17" t="s">
        <v>105</v>
      </c>
      <c r="J27" s="13">
        <v>5.49862976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35">
      <c r="A28" s="1"/>
      <c r="B28" s="1"/>
      <c r="C28" s="2"/>
      <c r="D28" s="1"/>
      <c r="E28" s="1"/>
      <c r="F28" s="1"/>
      <c r="G28" s="1"/>
      <c r="H28" s="47" t="s">
        <v>106</v>
      </c>
      <c r="I28" s="41"/>
      <c r="J28" s="4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35">
      <c r="A29" s="38" t="s">
        <v>107</v>
      </c>
      <c r="B29" s="39"/>
      <c r="C29" s="39"/>
      <c r="D29" s="39"/>
      <c r="E29" s="1"/>
      <c r="F29" s="1"/>
      <c r="G29" s="1"/>
      <c r="H29" s="44"/>
      <c r="I29" s="44"/>
      <c r="J29" s="4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35">
      <c r="A30" s="44"/>
      <c r="B30" s="44"/>
      <c r="C30" s="44"/>
      <c r="D30" s="44"/>
      <c r="E30" s="1"/>
      <c r="F30" s="1"/>
      <c r="G30" s="1"/>
      <c r="H30" s="6" t="s">
        <v>108</v>
      </c>
      <c r="I30" s="17" t="s">
        <v>92</v>
      </c>
      <c r="J30" s="18" t="s">
        <v>109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35">
      <c r="A31" s="4" t="s">
        <v>0</v>
      </c>
      <c r="B31" s="4" t="s">
        <v>1</v>
      </c>
      <c r="C31" s="5" t="s">
        <v>21</v>
      </c>
      <c r="D31" s="19" t="s">
        <v>110</v>
      </c>
      <c r="E31" s="1"/>
      <c r="F31" s="1"/>
      <c r="G31" s="1"/>
      <c r="H31" s="6" t="s">
        <v>111</v>
      </c>
      <c r="I31" s="17" t="s">
        <v>96</v>
      </c>
      <c r="J31" s="18" t="s">
        <v>112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35">
      <c r="A32" s="6" t="s">
        <v>113</v>
      </c>
      <c r="B32" s="4" t="s">
        <v>4</v>
      </c>
      <c r="C32" s="7" t="s">
        <v>114</v>
      </c>
      <c r="D32" s="4">
        <v>10</v>
      </c>
      <c r="E32" s="1"/>
      <c r="F32" s="1"/>
      <c r="G32" s="1"/>
      <c r="H32" s="6" t="s">
        <v>115</v>
      </c>
      <c r="I32" s="17" t="s">
        <v>101</v>
      </c>
      <c r="J32" s="18" t="s">
        <v>116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35">
      <c r="A33" s="6" t="s">
        <v>117</v>
      </c>
      <c r="B33" s="4" t="s">
        <v>5</v>
      </c>
      <c r="C33" s="7" t="s">
        <v>118</v>
      </c>
      <c r="D33" s="4">
        <v>10</v>
      </c>
      <c r="E33" s="1"/>
      <c r="F33" s="1"/>
      <c r="G33" s="1"/>
      <c r="H33" s="6" t="s">
        <v>115</v>
      </c>
      <c r="I33" s="17" t="s">
        <v>105</v>
      </c>
      <c r="J33" s="18" t="s">
        <v>119</v>
      </c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35">
      <c r="A34" s="6" t="s">
        <v>120</v>
      </c>
      <c r="B34" s="4" t="s">
        <v>6</v>
      </c>
      <c r="C34" s="7" t="s">
        <v>121</v>
      </c>
      <c r="D34" s="4">
        <v>10</v>
      </c>
      <c r="E34" s="1"/>
      <c r="F34" s="1"/>
      <c r="G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35">
      <c r="A35" s="6" t="s">
        <v>122</v>
      </c>
      <c r="B35" s="4" t="s">
        <v>7</v>
      </c>
      <c r="C35" s="7" t="s">
        <v>123</v>
      </c>
      <c r="D35" s="4">
        <v>5</v>
      </c>
      <c r="E35" s="1"/>
      <c r="F35" s="1"/>
      <c r="G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35">
      <c r="A36" s="6" t="s">
        <v>124</v>
      </c>
      <c r="B36" s="4" t="s">
        <v>8</v>
      </c>
      <c r="C36" s="7" t="s">
        <v>125</v>
      </c>
      <c r="D36" s="4">
        <v>5</v>
      </c>
      <c r="E36" s="1"/>
      <c r="F36" s="1"/>
      <c r="G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35">
      <c r="A37" s="6" t="s">
        <v>126</v>
      </c>
      <c r="B37" s="4" t="s">
        <v>35</v>
      </c>
      <c r="C37" s="7" t="s">
        <v>127</v>
      </c>
      <c r="D37" s="4">
        <v>2.5</v>
      </c>
      <c r="E37" s="1"/>
      <c r="F37" s="1"/>
      <c r="G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35">
      <c r="A38" s="6" t="s">
        <v>128</v>
      </c>
      <c r="B38" s="4" t="s">
        <v>10</v>
      </c>
      <c r="C38" s="7" t="s">
        <v>127</v>
      </c>
      <c r="D38" s="4">
        <v>2.5</v>
      </c>
      <c r="E38" s="1"/>
      <c r="F38" s="1"/>
      <c r="G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35">
      <c r="A39" s="6" t="s">
        <v>129</v>
      </c>
      <c r="B39" s="4" t="s">
        <v>11</v>
      </c>
      <c r="C39" s="7" t="s">
        <v>130</v>
      </c>
      <c r="D39" s="4">
        <v>2</v>
      </c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5">
      <c r="A40" s="6" t="s">
        <v>131</v>
      </c>
      <c r="B40" s="4" t="s">
        <v>12</v>
      </c>
      <c r="C40" s="7" t="s">
        <v>132</v>
      </c>
      <c r="D40" s="4">
        <v>1</v>
      </c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35">
      <c r="A41" s="6" t="s">
        <v>133</v>
      </c>
      <c r="B41" s="4" t="s">
        <v>13</v>
      </c>
      <c r="C41" s="7" t="s">
        <v>134</v>
      </c>
      <c r="D41" s="4">
        <v>1</v>
      </c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35">
      <c r="A42" s="6" t="s">
        <v>135</v>
      </c>
      <c r="B42" s="4" t="s">
        <v>14</v>
      </c>
      <c r="C42" s="7" t="s">
        <v>136</v>
      </c>
      <c r="D42" s="4">
        <v>0.5</v>
      </c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35">
      <c r="A43" s="6" t="s">
        <v>137</v>
      </c>
      <c r="B43" s="4" t="s">
        <v>15</v>
      </c>
      <c r="C43" s="7" t="s">
        <v>138</v>
      </c>
      <c r="D43" s="4">
        <v>0.25</v>
      </c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35">
      <c r="A44" s="6" t="s">
        <v>139</v>
      </c>
      <c r="B44" s="4" t="s">
        <v>16</v>
      </c>
      <c r="C44" s="7" t="s">
        <v>140</v>
      </c>
      <c r="D44" s="15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35">
      <c r="A45" s="6" t="s">
        <v>141</v>
      </c>
      <c r="B45" s="4" t="s">
        <v>17</v>
      </c>
      <c r="C45" s="7" t="s">
        <v>142</v>
      </c>
      <c r="D45" s="15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 x14ac:dyDescent="0.35">
      <c r="A46" s="6" t="s">
        <v>143</v>
      </c>
      <c r="B46" s="4" t="s">
        <v>18</v>
      </c>
      <c r="C46" s="7" t="s">
        <v>144</v>
      </c>
      <c r="D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.5" customHeight="1" x14ac:dyDescent="0.3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75" customHeight="1" x14ac:dyDescent="0.35">
      <c r="A48" s="38" t="s">
        <v>145</v>
      </c>
      <c r="B48" s="39"/>
      <c r="C48" s="39"/>
      <c r="D48" s="39"/>
      <c r="E48" s="1"/>
      <c r="F48" s="1"/>
      <c r="G48" s="1"/>
      <c r="H48" s="38" t="s">
        <v>146</v>
      </c>
      <c r="I48" s="39"/>
      <c r="J48" s="39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 x14ac:dyDescent="0.35">
      <c r="A49" s="44"/>
      <c r="B49" s="44"/>
      <c r="C49" s="44"/>
      <c r="D49" s="44"/>
      <c r="E49" s="1"/>
      <c r="F49" s="1"/>
      <c r="G49" s="1"/>
      <c r="H49" s="44"/>
      <c r="I49" s="44"/>
      <c r="J49" s="44"/>
      <c r="K49" s="4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 x14ac:dyDescent="0.35">
      <c r="A50" s="4" t="s">
        <v>0</v>
      </c>
      <c r="B50" s="4" t="s">
        <v>1</v>
      </c>
      <c r="C50" s="5" t="s">
        <v>21</v>
      </c>
      <c r="D50" s="19" t="s">
        <v>110</v>
      </c>
      <c r="E50" s="1"/>
      <c r="F50" s="1"/>
      <c r="G50" s="1"/>
      <c r="H50" s="4" t="s">
        <v>0</v>
      </c>
      <c r="I50" s="4" t="s">
        <v>1</v>
      </c>
      <c r="J50" s="5" t="s">
        <v>21</v>
      </c>
      <c r="K50" s="19" t="s">
        <v>602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 x14ac:dyDescent="0.35">
      <c r="A51" s="6" t="s">
        <v>147</v>
      </c>
      <c r="B51" s="4" t="s">
        <v>4</v>
      </c>
      <c r="C51" s="13" t="s">
        <v>148</v>
      </c>
      <c r="D51" s="4">
        <v>10</v>
      </c>
      <c r="E51" s="1"/>
      <c r="F51" s="1"/>
      <c r="G51" s="1"/>
      <c r="H51" s="6" t="s">
        <v>149</v>
      </c>
      <c r="I51" s="4" t="s">
        <v>4</v>
      </c>
      <c r="J51" s="13" t="s">
        <v>150</v>
      </c>
      <c r="K51" s="4">
        <v>10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75" customHeight="1" x14ac:dyDescent="0.35">
      <c r="A52" s="6" t="s">
        <v>151</v>
      </c>
      <c r="B52" s="4" t="s">
        <v>5</v>
      </c>
      <c r="C52" s="13" t="s">
        <v>152</v>
      </c>
      <c r="D52" s="4">
        <v>10</v>
      </c>
      <c r="E52" s="1"/>
      <c r="F52" s="1"/>
      <c r="G52" s="1"/>
      <c r="H52" s="6" t="s">
        <v>153</v>
      </c>
      <c r="I52" s="4" t="s">
        <v>5</v>
      </c>
      <c r="J52" s="13" t="s">
        <v>154</v>
      </c>
      <c r="K52" s="4">
        <v>10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 x14ac:dyDescent="0.35">
      <c r="A53" s="6" t="s">
        <v>155</v>
      </c>
      <c r="B53" s="4" t="s">
        <v>6</v>
      </c>
      <c r="C53" s="13" t="s">
        <v>156</v>
      </c>
      <c r="D53" s="4">
        <v>10</v>
      </c>
      <c r="E53" s="1"/>
      <c r="F53" s="1"/>
      <c r="G53" s="1"/>
      <c r="H53" s="6" t="s">
        <v>157</v>
      </c>
      <c r="I53" s="4" t="s">
        <v>6</v>
      </c>
      <c r="J53" s="13" t="s">
        <v>158</v>
      </c>
      <c r="K53" s="4">
        <v>10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 x14ac:dyDescent="0.35">
      <c r="A54" s="6" t="s">
        <v>159</v>
      </c>
      <c r="B54" s="4" t="s">
        <v>7</v>
      </c>
      <c r="C54" s="13" t="s">
        <v>160</v>
      </c>
      <c r="D54" s="4">
        <v>5</v>
      </c>
      <c r="E54" s="1"/>
      <c r="F54" s="1"/>
      <c r="G54" s="1"/>
      <c r="H54" s="6" t="s">
        <v>161</v>
      </c>
      <c r="I54" s="4" t="s">
        <v>7</v>
      </c>
      <c r="J54" s="13" t="s">
        <v>162</v>
      </c>
      <c r="K54" s="4">
        <v>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 x14ac:dyDescent="0.35">
      <c r="A55" s="6" t="s">
        <v>163</v>
      </c>
      <c r="B55" s="4" t="s">
        <v>8</v>
      </c>
      <c r="C55" s="13" t="s">
        <v>164</v>
      </c>
      <c r="D55" s="4">
        <v>5</v>
      </c>
      <c r="E55" s="1"/>
      <c r="F55" s="1"/>
      <c r="G55" s="1"/>
      <c r="H55" s="6" t="s">
        <v>165</v>
      </c>
      <c r="I55" s="4" t="s">
        <v>8</v>
      </c>
      <c r="J55" s="13" t="s">
        <v>166</v>
      </c>
      <c r="K55" s="4">
        <v>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 x14ac:dyDescent="0.35">
      <c r="A56" s="6" t="s">
        <v>167</v>
      </c>
      <c r="B56" s="4" t="s">
        <v>38</v>
      </c>
      <c r="C56" s="13" t="s">
        <v>168</v>
      </c>
      <c r="D56" s="4">
        <v>2.5</v>
      </c>
      <c r="E56" s="1"/>
      <c r="F56" s="1"/>
      <c r="G56" s="1"/>
      <c r="H56" s="6" t="s">
        <v>169</v>
      </c>
      <c r="I56" s="4" t="s">
        <v>38</v>
      </c>
      <c r="J56" s="13" t="s">
        <v>170</v>
      </c>
      <c r="K56" s="4">
        <v>2.5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 x14ac:dyDescent="0.35">
      <c r="A57" s="6" t="s">
        <v>171</v>
      </c>
      <c r="B57" s="4" t="s">
        <v>11</v>
      </c>
      <c r="C57" s="13" t="s">
        <v>172</v>
      </c>
      <c r="D57" s="4">
        <v>2</v>
      </c>
      <c r="E57" s="1"/>
      <c r="F57" s="1"/>
      <c r="G57" s="1"/>
      <c r="H57" s="6" t="s">
        <v>173</v>
      </c>
      <c r="I57" s="4" t="s">
        <v>11</v>
      </c>
      <c r="J57" s="13" t="s">
        <v>174</v>
      </c>
      <c r="K57" s="4">
        <v>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 x14ac:dyDescent="0.35">
      <c r="A58" s="6" t="s">
        <v>175</v>
      </c>
      <c r="B58" s="4" t="s">
        <v>12</v>
      </c>
      <c r="C58" s="13" t="s">
        <v>176</v>
      </c>
      <c r="D58" s="4">
        <v>1</v>
      </c>
      <c r="E58" s="1"/>
      <c r="F58" s="1"/>
      <c r="G58" s="1"/>
      <c r="H58" s="6" t="s">
        <v>177</v>
      </c>
      <c r="I58" s="4" t="s">
        <v>12</v>
      </c>
      <c r="J58" s="13" t="s">
        <v>178</v>
      </c>
      <c r="K58" s="4">
        <v>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 x14ac:dyDescent="0.35">
      <c r="A59" s="6" t="s">
        <v>179</v>
      </c>
      <c r="B59" s="4" t="s">
        <v>13</v>
      </c>
      <c r="C59" s="13" t="s">
        <v>180</v>
      </c>
      <c r="D59" s="4">
        <v>1</v>
      </c>
      <c r="E59" s="1"/>
      <c r="F59" s="1"/>
      <c r="G59" s="1"/>
      <c r="H59" s="6" t="s">
        <v>181</v>
      </c>
      <c r="I59" s="4" t="s">
        <v>13</v>
      </c>
      <c r="J59" s="13" t="s">
        <v>182</v>
      </c>
      <c r="K59" s="4">
        <v>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 x14ac:dyDescent="0.35">
      <c r="A60" s="6" t="s">
        <v>183</v>
      </c>
      <c r="B60" s="4" t="s">
        <v>14</v>
      </c>
      <c r="C60" s="13" t="s">
        <v>184</v>
      </c>
      <c r="D60" s="4">
        <v>0.5</v>
      </c>
      <c r="E60" s="1"/>
      <c r="F60" s="1"/>
      <c r="G60" s="1"/>
      <c r="H60" s="6" t="s">
        <v>185</v>
      </c>
      <c r="I60" s="4" t="s">
        <v>14</v>
      </c>
      <c r="J60" s="13" t="s">
        <v>186</v>
      </c>
      <c r="K60" s="4">
        <v>0.5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 x14ac:dyDescent="0.35">
      <c r="A61" s="6" t="s">
        <v>187</v>
      </c>
      <c r="B61" s="4" t="s">
        <v>15</v>
      </c>
      <c r="C61" s="13" t="s">
        <v>188</v>
      </c>
      <c r="D61" s="4">
        <v>0.25</v>
      </c>
      <c r="E61" s="1"/>
      <c r="F61" s="1"/>
      <c r="G61" s="1"/>
      <c r="H61" s="6" t="s">
        <v>189</v>
      </c>
      <c r="I61" s="4" t="s">
        <v>15</v>
      </c>
      <c r="J61" s="13" t="s">
        <v>190</v>
      </c>
      <c r="K61" s="4">
        <v>0.25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 x14ac:dyDescent="0.35">
      <c r="A62" s="6" t="s">
        <v>191</v>
      </c>
      <c r="B62" s="4" t="s">
        <v>16</v>
      </c>
      <c r="C62" s="13" t="s">
        <v>192</v>
      </c>
      <c r="D62" s="48" t="s">
        <v>193</v>
      </c>
      <c r="E62" s="41"/>
      <c r="F62" s="41"/>
      <c r="G62" s="42"/>
      <c r="H62" s="6" t="s">
        <v>194</v>
      </c>
      <c r="I62" s="4" t="s">
        <v>16</v>
      </c>
      <c r="J62" s="13" t="s">
        <v>195</v>
      </c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 x14ac:dyDescent="0.35">
      <c r="A63" s="6" t="s">
        <v>196</v>
      </c>
      <c r="B63" s="4" t="s">
        <v>17</v>
      </c>
      <c r="C63" s="13" t="s">
        <v>197</v>
      </c>
      <c r="D63" s="43"/>
      <c r="E63" s="44"/>
      <c r="F63" s="44"/>
      <c r="G63" s="45"/>
      <c r="H63" s="6" t="s">
        <v>198</v>
      </c>
      <c r="I63" s="4" t="s">
        <v>17</v>
      </c>
      <c r="J63" s="13" t="s">
        <v>199</v>
      </c>
      <c r="K63" s="2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 x14ac:dyDescent="0.35">
      <c r="A64" s="6" t="s">
        <v>200</v>
      </c>
      <c r="B64" s="4" t="s">
        <v>18</v>
      </c>
      <c r="C64" s="13" t="s">
        <v>201</v>
      </c>
      <c r="D64" s="48" t="s">
        <v>202</v>
      </c>
      <c r="E64" s="41"/>
      <c r="F64" s="41"/>
      <c r="G64" s="41"/>
      <c r="H64" s="21" t="s">
        <v>203</v>
      </c>
      <c r="I64" s="4" t="s">
        <v>18</v>
      </c>
      <c r="J64" s="13" t="s">
        <v>204</v>
      </c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 x14ac:dyDescent="0.35">
      <c r="A65" s="4"/>
      <c r="B65" s="4"/>
      <c r="C65" s="4"/>
      <c r="D65" s="43"/>
      <c r="E65" s="44"/>
      <c r="F65" s="44"/>
      <c r="G65" s="44"/>
      <c r="H65" s="4"/>
      <c r="I65" s="4"/>
      <c r="J65" s="4"/>
      <c r="K65" s="1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 x14ac:dyDescent="0.35">
      <c r="A66" s="10"/>
      <c r="B66" s="10"/>
      <c r="C66" s="10"/>
      <c r="D66" s="37"/>
      <c r="E66" s="37"/>
      <c r="F66" s="37"/>
      <c r="G66" s="37"/>
      <c r="H66" s="10"/>
      <c r="I66" s="10"/>
      <c r="J66" s="1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38" t="s">
        <v>205</v>
      </c>
      <c r="B67" s="39"/>
      <c r="C67" s="39"/>
      <c r="D67" s="39"/>
      <c r="E67" s="1"/>
      <c r="F67" s="1"/>
      <c r="G67" s="1"/>
      <c r="H67" s="38" t="s">
        <v>206</v>
      </c>
      <c r="I67" s="39"/>
      <c r="J67" s="39"/>
      <c r="K67" s="3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44"/>
      <c r="B68" s="44"/>
      <c r="C68" s="44"/>
      <c r="D68" s="44"/>
      <c r="E68" s="23"/>
      <c r="F68" s="23"/>
      <c r="G68" s="23"/>
      <c r="H68" s="44"/>
      <c r="I68" s="44"/>
      <c r="J68" s="44"/>
      <c r="K68" s="44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9.75" customHeight="1" x14ac:dyDescent="0.35">
      <c r="A69" s="4" t="s">
        <v>0</v>
      </c>
      <c r="B69" s="4" t="s">
        <v>1</v>
      </c>
      <c r="C69" s="5" t="s">
        <v>21</v>
      </c>
      <c r="D69" s="1"/>
      <c r="E69" s="1"/>
      <c r="F69" s="1"/>
      <c r="G69" s="1"/>
      <c r="H69" s="4" t="s">
        <v>0</v>
      </c>
      <c r="I69" s="4" t="s">
        <v>1</v>
      </c>
      <c r="J69" s="5" t="s">
        <v>21</v>
      </c>
      <c r="K69" s="1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 x14ac:dyDescent="0.35">
      <c r="A70" s="6" t="s">
        <v>207</v>
      </c>
      <c r="B70" s="4" t="s">
        <v>208</v>
      </c>
      <c r="C70" s="13" t="s">
        <v>209</v>
      </c>
      <c r="D70" s="1"/>
      <c r="E70" s="10"/>
      <c r="F70" s="10"/>
      <c r="G70" s="10"/>
      <c r="H70" s="6" t="s">
        <v>210</v>
      </c>
      <c r="I70" s="4" t="s">
        <v>208</v>
      </c>
      <c r="J70" s="13" t="s">
        <v>209</v>
      </c>
      <c r="K70" s="1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9.75" customHeight="1" x14ac:dyDescent="0.35">
      <c r="A71" s="6" t="s">
        <v>211</v>
      </c>
      <c r="B71" s="4" t="s">
        <v>212</v>
      </c>
      <c r="C71" s="13" t="s">
        <v>213</v>
      </c>
      <c r="D71" s="1"/>
      <c r="E71" s="10"/>
      <c r="F71" s="10"/>
      <c r="G71" s="10"/>
      <c r="H71" s="6" t="s">
        <v>214</v>
      </c>
      <c r="I71" s="4" t="s">
        <v>212</v>
      </c>
      <c r="J71" s="13" t="s">
        <v>213</v>
      </c>
      <c r="K71" s="1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 x14ac:dyDescent="0.35">
      <c r="A72" s="6" t="s">
        <v>215</v>
      </c>
      <c r="B72" s="4" t="s">
        <v>216</v>
      </c>
      <c r="C72" s="13" t="s">
        <v>217</v>
      </c>
      <c r="D72" s="1"/>
      <c r="E72" s="10"/>
      <c r="F72" s="10"/>
      <c r="G72" s="10"/>
      <c r="H72" s="6" t="s">
        <v>218</v>
      </c>
      <c r="I72" s="4" t="s">
        <v>216</v>
      </c>
      <c r="J72" s="13" t="s">
        <v>217</v>
      </c>
      <c r="K72" s="1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 x14ac:dyDescent="0.35">
      <c r="A73" s="6" t="s">
        <v>219</v>
      </c>
      <c r="B73" s="4" t="s">
        <v>220</v>
      </c>
      <c r="C73" s="13" t="s">
        <v>221</v>
      </c>
      <c r="D73" s="1"/>
      <c r="E73" s="10"/>
      <c r="F73" s="10"/>
      <c r="G73" s="10"/>
      <c r="H73" s="6" t="s">
        <v>222</v>
      </c>
      <c r="I73" s="4" t="s">
        <v>220</v>
      </c>
      <c r="J73" s="13" t="s">
        <v>221</v>
      </c>
      <c r="K73" s="1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 x14ac:dyDescent="0.35">
      <c r="A74" s="6" t="s">
        <v>223</v>
      </c>
      <c r="B74" s="4" t="s">
        <v>224</v>
      </c>
      <c r="C74" s="13" t="s">
        <v>225</v>
      </c>
      <c r="D74" s="1"/>
      <c r="E74" s="10"/>
      <c r="F74" s="10"/>
      <c r="G74" s="10"/>
      <c r="H74" s="6" t="s">
        <v>226</v>
      </c>
      <c r="I74" s="4" t="s">
        <v>224</v>
      </c>
      <c r="J74" s="13" t="s">
        <v>225</v>
      </c>
      <c r="K74" s="1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 x14ac:dyDescent="0.35">
      <c r="A75" s="6" t="s">
        <v>227</v>
      </c>
      <c r="B75" s="4" t="s">
        <v>228</v>
      </c>
      <c r="C75" s="13" t="s">
        <v>229</v>
      </c>
      <c r="D75" s="1"/>
      <c r="E75" s="10"/>
      <c r="F75" s="10"/>
      <c r="G75" s="10"/>
      <c r="H75" s="6" t="s">
        <v>230</v>
      </c>
      <c r="I75" s="4" t="s">
        <v>228</v>
      </c>
      <c r="J75" s="13" t="s">
        <v>229</v>
      </c>
      <c r="K75" s="1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 x14ac:dyDescent="0.35">
      <c r="A76" s="6" t="s">
        <v>231</v>
      </c>
      <c r="B76" s="4" t="s">
        <v>232</v>
      </c>
      <c r="C76" s="13" t="s">
        <v>233</v>
      </c>
      <c r="D76" s="1"/>
      <c r="E76" s="10"/>
      <c r="F76" s="10"/>
      <c r="G76" s="10"/>
      <c r="H76" s="6" t="s">
        <v>234</v>
      </c>
      <c r="I76" s="4" t="s">
        <v>232</v>
      </c>
      <c r="J76" s="13" t="s">
        <v>233</v>
      </c>
      <c r="K76" s="1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 x14ac:dyDescent="0.35">
      <c r="A77" s="1"/>
      <c r="B77" s="1"/>
      <c r="C77" s="2"/>
      <c r="D77" s="1"/>
      <c r="E77" s="1"/>
      <c r="F77" s="1"/>
      <c r="G77" s="1"/>
      <c r="H77" s="1"/>
      <c r="I77" s="1"/>
      <c r="J77" s="2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 x14ac:dyDescent="0.35">
      <c r="A78" s="38" t="s">
        <v>235</v>
      </c>
      <c r="B78" s="39"/>
      <c r="C78" s="39"/>
      <c r="D78" s="39"/>
      <c r="E78" s="1"/>
      <c r="F78" s="1"/>
      <c r="G78" s="1"/>
      <c r="H78" s="38" t="s">
        <v>236</v>
      </c>
      <c r="I78" s="39"/>
      <c r="J78" s="39"/>
      <c r="K78" s="3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 x14ac:dyDescent="0.35">
      <c r="A79" s="44"/>
      <c r="B79" s="44"/>
      <c r="C79" s="44"/>
      <c r="D79" s="44"/>
      <c r="E79" s="1"/>
      <c r="F79" s="1"/>
      <c r="G79" s="1"/>
      <c r="H79" s="44"/>
      <c r="I79" s="44"/>
      <c r="J79" s="44"/>
      <c r="K79" s="4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 x14ac:dyDescent="0.35">
      <c r="A80" s="4" t="s">
        <v>0</v>
      </c>
      <c r="B80" s="4" t="s">
        <v>1</v>
      </c>
      <c r="C80" s="5" t="s">
        <v>58</v>
      </c>
      <c r="D80" s="14"/>
      <c r="E80" s="1"/>
      <c r="F80" s="1"/>
      <c r="G80" s="1"/>
      <c r="H80" s="4" t="s">
        <v>0</v>
      </c>
      <c r="I80" s="4" t="s">
        <v>1</v>
      </c>
      <c r="J80" s="5" t="s">
        <v>58</v>
      </c>
      <c r="K80" s="1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 x14ac:dyDescent="0.35">
      <c r="A81" s="6" t="s">
        <v>237</v>
      </c>
      <c r="B81" s="16" t="s">
        <v>238</v>
      </c>
      <c r="C81" s="13" t="s">
        <v>239</v>
      </c>
      <c r="D81" s="14"/>
      <c r="E81" s="1"/>
      <c r="F81" s="1"/>
      <c r="G81" s="1"/>
      <c r="H81" s="6" t="s">
        <v>240</v>
      </c>
      <c r="I81" s="4" t="s">
        <v>5</v>
      </c>
      <c r="J81" s="13" t="s">
        <v>241</v>
      </c>
      <c r="K81" s="1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 x14ac:dyDescent="0.35">
      <c r="A82" s="6" t="s">
        <v>242</v>
      </c>
      <c r="B82" s="16" t="s">
        <v>243</v>
      </c>
      <c r="C82" s="13">
        <v>1.36</v>
      </c>
      <c r="D82" s="14"/>
      <c r="E82" s="1"/>
      <c r="F82" s="1"/>
      <c r="G82" s="1"/>
      <c r="H82" s="6" t="s">
        <v>244</v>
      </c>
      <c r="I82" s="4" t="s">
        <v>6</v>
      </c>
      <c r="J82" s="25">
        <v>0.8</v>
      </c>
      <c r="K82" s="1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 x14ac:dyDescent="0.35">
      <c r="A83" s="6" t="s">
        <v>245</v>
      </c>
      <c r="B83" s="16" t="s">
        <v>246</v>
      </c>
      <c r="C83" s="13" t="s">
        <v>247</v>
      </c>
      <c r="D83" s="14"/>
      <c r="E83" s="1"/>
      <c r="F83" s="1"/>
      <c r="G83" s="1"/>
      <c r="H83" s="6" t="s">
        <v>248</v>
      </c>
      <c r="I83" s="4" t="s">
        <v>7</v>
      </c>
      <c r="J83" s="13" t="s">
        <v>249</v>
      </c>
      <c r="K83" s="1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 x14ac:dyDescent="0.35">
      <c r="A84" s="6" t="s">
        <v>250</v>
      </c>
      <c r="B84" s="16" t="s">
        <v>251</v>
      </c>
      <c r="C84" s="13" t="s">
        <v>252</v>
      </c>
      <c r="D84" s="14"/>
      <c r="E84" s="1"/>
      <c r="F84" s="1"/>
      <c r="G84" s="1"/>
      <c r="H84" s="6" t="s">
        <v>253</v>
      </c>
      <c r="I84" s="4" t="s">
        <v>254</v>
      </c>
      <c r="J84" s="13" t="s">
        <v>255</v>
      </c>
      <c r="K84" s="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 x14ac:dyDescent="0.35">
      <c r="A85" s="6" t="s">
        <v>256</v>
      </c>
      <c r="B85" s="16" t="s">
        <v>257</v>
      </c>
      <c r="C85" s="13" t="s">
        <v>258</v>
      </c>
      <c r="D85" s="14"/>
      <c r="E85" s="1"/>
      <c r="F85" s="1"/>
      <c r="G85" s="1"/>
      <c r="H85" s="6" t="s">
        <v>259</v>
      </c>
      <c r="I85" s="4" t="s">
        <v>260</v>
      </c>
      <c r="J85" s="13" t="s">
        <v>261</v>
      </c>
      <c r="K85" s="1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 x14ac:dyDescent="0.35">
      <c r="A86" s="6"/>
      <c r="B86" s="16"/>
      <c r="C86" s="13"/>
      <c r="D86" s="14"/>
      <c r="E86" s="1"/>
      <c r="F86" s="1"/>
      <c r="G86" s="1"/>
      <c r="H86" s="6"/>
      <c r="I86" s="4"/>
      <c r="J86" s="13"/>
      <c r="K86" s="1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 x14ac:dyDescent="0.35">
      <c r="A87" s="6"/>
      <c r="B87" s="16"/>
      <c r="C87" s="13"/>
      <c r="D87" s="14"/>
      <c r="E87" s="1"/>
      <c r="F87" s="1"/>
      <c r="G87" s="1"/>
      <c r="H87" s="9"/>
      <c r="I87" s="10"/>
      <c r="J87" s="2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 x14ac:dyDescent="0.35">
      <c r="A88" s="38" t="s">
        <v>262</v>
      </c>
      <c r="B88" s="39"/>
      <c r="C88" s="39"/>
      <c r="D88" s="39"/>
      <c r="E88" s="1"/>
      <c r="F88" s="1"/>
      <c r="G88" s="1"/>
      <c r="H88" s="38" t="s">
        <v>263</v>
      </c>
      <c r="I88" s="39"/>
      <c r="J88" s="39"/>
      <c r="K88" s="3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 x14ac:dyDescent="0.35">
      <c r="A89" s="44"/>
      <c r="B89" s="44"/>
      <c r="C89" s="44"/>
      <c r="D89" s="44"/>
      <c r="E89" s="1"/>
      <c r="F89" s="1"/>
      <c r="G89" s="1"/>
      <c r="H89" s="44"/>
      <c r="I89" s="44"/>
      <c r="J89" s="44"/>
      <c r="K89" s="4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 x14ac:dyDescent="0.35">
      <c r="A90" s="4" t="s">
        <v>0</v>
      </c>
      <c r="B90" s="4" t="s">
        <v>1</v>
      </c>
      <c r="C90" s="5" t="s">
        <v>58</v>
      </c>
      <c r="D90" s="14"/>
      <c r="E90" s="1"/>
      <c r="F90" s="1"/>
      <c r="G90" s="1"/>
      <c r="H90" s="4" t="s">
        <v>0</v>
      </c>
      <c r="I90" s="4" t="s">
        <v>1</v>
      </c>
      <c r="J90" s="5" t="s">
        <v>58</v>
      </c>
      <c r="K90" s="1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 x14ac:dyDescent="0.35">
      <c r="A91" s="6" t="s">
        <v>264</v>
      </c>
      <c r="B91" s="4" t="s">
        <v>5</v>
      </c>
      <c r="C91" s="5" t="s">
        <v>265</v>
      </c>
      <c r="D91" s="14"/>
      <c r="E91" s="1"/>
      <c r="F91" s="1"/>
      <c r="G91" s="1"/>
      <c r="H91" s="6" t="s">
        <v>266</v>
      </c>
      <c r="I91" s="4" t="s">
        <v>5</v>
      </c>
      <c r="J91" s="5" t="s">
        <v>267</v>
      </c>
      <c r="K91" s="1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 x14ac:dyDescent="0.35">
      <c r="A92" s="6" t="s">
        <v>268</v>
      </c>
      <c r="B92" s="4" t="s">
        <v>6</v>
      </c>
      <c r="C92" s="5" t="s">
        <v>269</v>
      </c>
      <c r="D92" s="14"/>
      <c r="E92" s="1"/>
      <c r="F92" s="1"/>
      <c r="G92" s="1"/>
      <c r="H92" s="6" t="s">
        <v>270</v>
      </c>
      <c r="I92" s="4" t="s">
        <v>6</v>
      </c>
      <c r="J92" s="5" t="s">
        <v>271</v>
      </c>
      <c r="K92" s="1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 x14ac:dyDescent="0.35">
      <c r="A93" s="6" t="s">
        <v>272</v>
      </c>
      <c r="B93" s="4" t="s">
        <v>7</v>
      </c>
      <c r="C93" s="5" t="s">
        <v>269</v>
      </c>
      <c r="D93" s="14"/>
      <c r="E93" s="1"/>
      <c r="F93" s="1"/>
      <c r="G93" s="1"/>
      <c r="H93" s="6" t="s">
        <v>273</v>
      </c>
      <c r="I93" s="4" t="s">
        <v>7</v>
      </c>
      <c r="J93" s="5" t="s">
        <v>271</v>
      </c>
      <c r="K93" s="1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 x14ac:dyDescent="0.35">
      <c r="A94" s="1"/>
      <c r="B94" s="1"/>
      <c r="C94" s="2"/>
      <c r="D94" s="15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 x14ac:dyDescent="0.35">
      <c r="A95" s="38" t="s">
        <v>274</v>
      </c>
      <c r="B95" s="39"/>
      <c r="C95" s="39"/>
      <c r="D95" s="39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 x14ac:dyDescent="0.35">
      <c r="A96" s="44"/>
      <c r="B96" s="44"/>
      <c r="C96" s="44"/>
      <c r="D96" s="44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 x14ac:dyDescent="0.35">
      <c r="A97" s="4" t="s">
        <v>0</v>
      </c>
      <c r="B97" s="4" t="s">
        <v>1</v>
      </c>
      <c r="C97" s="5" t="s">
        <v>58</v>
      </c>
      <c r="D97" s="14"/>
      <c r="E97" s="1"/>
      <c r="F97" s="1"/>
      <c r="G97" s="1"/>
      <c r="H97" s="1"/>
      <c r="I97" s="1"/>
      <c r="J97" s="2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 x14ac:dyDescent="0.35">
      <c r="A98" s="6" t="s">
        <v>275</v>
      </c>
      <c r="B98" s="4" t="s">
        <v>5</v>
      </c>
      <c r="C98" s="5" t="s">
        <v>276</v>
      </c>
      <c r="D98" s="14"/>
      <c r="E98" s="1"/>
      <c r="F98" s="1"/>
      <c r="G98" s="1"/>
      <c r="H98" s="1"/>
      <c r="I98" s="1"/>
      <c r="J98" s="2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 x14ac:dyDescent="0.35">
      <c r="A99" s="6" t="s">
        <v>277</v>
      </c>
      <c r="B99" s="4" t="s">
        <v>6</v>
      </c>
      <c r="C99" s="5" t="s">
        <v>278</v>
      </c>
      <c r="D99" s="14"/>
      <c r="E99" s="1"/>
      <c r="F99" s="1"/>
      <c r="G99" s="1"/>
      <c r="H99" s="1"/>
      <c r="I99" s="1"/>
      <c r="J99" s="2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 x14ac:dyDescent="0.35">
      <c r="A100" s="6" t="s">
        <v>279</v>
      </c>
      <c r="B100" s="4" t="s">
        <v>7</v>
      </c>
      <c r="C100" s="5" t="s">
        <v>278</v>
      </c>
      <c r="D100" s="14"/>
      <c r="E100" s="1"/>
      <c r="F100" s="1"/>
      <c r="G100" s="1"/>
      <c r="H100" s="1"/>
      <c r="I100" s="1"/>
      <c r="J100" s="2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2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 x14ac:dyDescent="0.35">
      <c r="A102" s="38" t="s">
        <v>280</v>
      </c>
      <c r="B102" s="39"/>
      <c r="C102" s="39"/>
      <c r="D102" s="39"/>
      <c r="E102" s="1"/>
      <c r="F102" s="1"/>
      <c r="G102" s="38" t="s">
        <v>281</v>
      </c>
      <c r="H102" s="39"/>
      <c r="I102" s="39"/>
      <c r="J102" s="39"/>
      <c r="K102" s="1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 x14ac:dyDescent="0.35">
      <c r="A103" s="44"/>
      <c r="B103" s="44"/>
      <c r="C103" s="44"/>
      <c r="D103" s="44"/>
      <c r="E103" s="1"/>
      <c r="F103" s="1"/>
      <c r="G103" s="44"/>
      <c r="H103" s="44"/>
      <c r="I103" s="44"/>
      <c r="J103" s="44"/>
      <c r="K103" s="1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 x14ac:dyDescent="0.35">
      <c r="A104" s="4" t="s">
        <v>0</v>
      </c>
      <c r="B104" s="4" t="s">
        <v>1</v>
      </c>
      <c r="C104" s="5" t="s">
        <v>21</v>
      </c>
      <c r="E104" s="1"/>
      <c r="F104" s="1"/>
      <c r="G104" s="4" t="s">
        <v>0</v>
      </c>
      <c r="H104" s="49" t="s">
        <v>1</v>
      </c>
      <c r="I104" s="50"/>
      <c r="J104" s="5" t="s">
        <v>21</v>
      </c>
      <c r="K104" s="1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 x14ac:dyDescent="0.35">
      <c r="A105" s="12" t="s">
        <v>282</v>
      </c>
      <c r="B105" s="4" t="s">
        <v>283</v>
      </c>
      <c r="C105" s="13" t="s">
        <v>284</v>
      </c>
      <c r="E105" s="1"/>
      <c r="F105" s="1"/>
      <c r="G105" s="12" t="s">
        <v>285</v>
      </c>
      <c r="H105" s="49" t="s">
        <v>286</v>
      </c>
      <c r="I105" s="50"/>
      <c r="J105" s="13" t="s">
        <v>287</v>
      </c>
      <c r="K105" s="10"/>
      <c r="L105" s="1"/>
      <c r="M105" s="1"/>
      <c r="R105" s="1"/>
      <c r="S105" s="1"/>
      <c r="X105" s="1"/>
      <c r="Y105" s="1"/>
      <c r="Z105" s="1"/>
    </row>
    <row r="106" spans="1:26" ht="9.75" customHeight="1" x14ac:dyDescent="0.35">
      <c r="A106" s="12" t="s">
        <v>288</v>
      </c>
      <c r="B106" s="4" t="s">
        <v>289</v>
      </c>
      <c r="C106" s="13" t="s">
        <v>290</v>
      </c>
      <c r="E106" s="1"/>
      <c r="F106" s="1"/>
      <c r="G106" s="12" t="s">
        <v>291</v>
      </c>
      <c r="H106" s="49" t="s">
        <v>292</v>
      </c>
      <c r="I106" s="50"/>
      <c r="J106" s="13" t="s">
        <v>293</v>
      </c>
      <c r="K106" s="10"/>
      <c r="L106" s="1"/>
      <c r="M106" s="1"/>
      <c r="R106" s="1"/>
      <c r="S106" s="1"/>
      <c r="X106" s="1"/>
      <c r="Y106" s="1"/>
      <c r="Z106" s="1"/>
    </row>
    <row r="107" spans="1:26" ht="9.75" customHeight="1" x14ac:dyDescent="0.35">
      <c r="A107" s="12" t="s">
        <v>294</v>
      </c>
      <c r="B107" s="4" t="s">
        <v>295</v>
      </c>
      <c r="C107" s="13" t="s">
        <v>296</v>
      </c>
      <c r="E107" s="1"/>
      <c r="F107" s="1"/>
      <c r="G107" s="12" t="s">
        <v>297</v>
      </c>
      <c r="H107" s="49" t="s">
        <v>298</v>
      </c>
      <c r="I107" s="50"/>
      <c r="J107" s="13" t="s">
        <v>299</v>
      </c>
      <c r="K107" s="10"/>
      <c r="L107" s="1"/>
      <c r="M107" s="1"/>
      <c r="R107" s="1"/>
      <c r="S107" s="1"/>
      <c r="X107" s="1"/>
      <c r="Y107" s="1"/>
      <c r="Z107" s="1"/>
    </row>
    <row r="108" spans="1:26" ht="9.75" customHeight="1" x14ac:dyDescent="0.35">
      <c r="A108" s="12" t="s">
        <v>300</v>
      </c>
      <c r="B108" s="4" t="s">
        <v>301</v>
      </c>
      <c r="C108" s="13" t="s">
        <v>296</v>
      </c>
      <c r="E108" s="1"/>
      <c r="F108" s="1"/>
      <c r="G108" s="12" t="s">
        <v>302</v>
      </c>
      <c r="H108" s="49" t="s">
        <v>303</v>
      </c>
      <c r="I108" s="50"/>
      <c r="J108" s="13" t="s">
        <v>304</v>
      </c>
      <c r="K108" s="10"/>
      <c r="L108" s="1"/>
      <c r="M108" s="1"/>
      <c r="R108" s="1"/>
      <c r="S108" s="1"/>
      <c r="X108" s="1"/>
      <c r="Y108" s="1"/>
      <c r="Z108" s="1"/>
    </row>
    <row r="109" spans="1:26" ht="9.75" customHeight="1" x14ac:dyDescent="0.35">
      <c r="A109" s="12" t="s">
        <v>305</v>
      </c>
      <c r="B109" s="4" t="s">
        <v>306</v>
      </c>
      <c r="C109" s="13" t="s">
        <v>307</v>
      </c>
      <c r="E109" s="1"/>
      <c r="F109" s="1"/>
      <c r="G109" s="12" t="s">
        <v>308</v>
      </c>
      <c r="H109" s="49" t="s">
        <v>309</v>
      </c>
      <c r="I109" s="50"/>
      <c r="J109" s="13" t="s">
        <v>310</v>
      </c>
      <c r="K109" s="10"/>
      <c r="L109" s="1"/>
      <c r="M109" s="1"/>
      <c r="R109" s="1"/>
      <c r="S109" s="1"/>
      <c r="X109" s="1"/>
      <c r="Y109" s="1"/>
      <c r="Z109" s="1"/>
    </row>
    <row r="110" spans="1:26" ht="9.75" customHeight="1" x14ac:dyDescent="0.35">
      <c r="A110" s="12" t="s">
        <v>311</v>
      </c>
      <c r="B110" s="4" t="s">
        <v>312</v>
      </c>
      <c r="C110" s="13" t="s">
        <v>313</v>
      </c>
      <c r="E110" s="1"/>
      <c r="F110" s="1"/>
      <c r="G110" s="12" t="s">
        <v>314</v>
      </c>
      <c r="H110" s="49" t="s">
        <v>315</v>
      </c>
      <c r="I110" s="50"/>
      <c r="J110" s="13" t="s">
        <v>316</v>
      </c>
      <c r="K110" s="10"/>
      <c r="L110" s="1"/>
      <c r="M110" s="1"/>
      <c r="R110" s="1"/>
      <c r="S110" s="1"/>
      <c r="X110" s="1"/>
      <c r="Y110" s="1"/>
      <c r="Z110" s="1"/>
    </row>
    <row r="111" spans="1:26" ht="9.75" customHeight="1" x14ac:dyDescent="0.35">
      <c r="A111" s="12" t="s">
        <v>317</v>
      </c>
      <c r="B111" s="4" t="s">
        <v>318</v>
      </c>
      <c r="C111" s="13" t="s">
        <v>319</v>
      </c>
      <c r="E111" s="1"/>
      <c r="F111" s="1"/>
      <c r="G111" s="12" t="s">
        <v>320</v>
      </c>
      <c r="H111" s="49" t="s">
        <v>321</v>
      </c>
      <c r="I111" s="50"/>
      <c r="J111" s="13" t="s">
        <v>322</v>
      </c>
      <c r="K111" s="10"/>
      <c r="L111" s="1"/>
      <c r="M111" s="1"/>
      <c r="R111" s="1"/>
      <c r="S111" s="1"/>
      <c r="X111" s="1"/>
      <c r="Y111" s="1"/>
      <c r="Z111" s="1"/>
    </row>
    <row r="112" spans="1:26" ht="9.75" customHeight="1" x14ac:dyDescent="0.35">
      <c r="A112" s="12" t="s">
        <v>323</v>
      </c>
      <c r="B112" s="4" t="s">
        <v>324</v>
      </c>
      <c r="C112" s="13" t="s">
        <v>325</v>
      </c>
      <c r="E112" s="1"/>
      <c r="F112" s="1"/>
      <c r="G112" s="12" t="s">
        <v>326</v>
      </c>
      <c r="H112" s="49" t="s">
        <v>327</v>
      </c>
      <c r="I112" s="50"/>
      <c r="J112" s="13" t="s">
        <v>328</v>
      </c>
      <c r="K112" s="10"/>
      <c r="L112" s="1"/>
      <c r="M112" s="1"/>
      <c r="R112" s="1"/>
      <c r="S112" s="1"/>
      <c r="X112" s="1"/>
      <c r="Y112" s="1"/>
      <c r="Z112" s="1"/>
    </row>
    <row r="113" spans="1:26" ht="9.75" customHeight="1" x14ac:dyDescent="0.35">
      <c r="A113" s="12" t="s">
        <v>329</v>
      </c>
      <c r="B113" s="4" t="s">
        <v>330</v>
      </c>
      <c r="C113" s="13" t="s">
        <v>331</v>
      </c>
      <c r="E113" s="1"/>
      <c r="F113" s="1"/>
      <c r="G113" s="12" t="s">
        <v>332</v>
      </c>
      <c r="H113" s="49" t="s">
        <v>333</v>
      </c>
      <c r="I113" s="50"/>
      <c r="J113" s="13" t="s">
        <v>334</v>
      </c>
      <c r="K113" s="10"/>
      <c r="L113" s="1"/>
      <c r="M113" s="1"/>
      <c r="R113" s="1"/>
      <c r="S113" s="1"/>
      <c r="X113" s="1"/>
      <c r="Y113" s="1"/>
      <c r="Z113" s="1"/>
    </row>
    <row r="114" spans="1:26" ht="9.75" customHeight="1" x14ac:dyDescent="0.35">
      <c r="A114" s="12" t="s">
        <v>335</v>
      </c>
      <c r="B114" s="4" t="s">
        <v>336</v>
      </c>
      <c r="C114" s="13" t="s">
        <v>337</v>
      </c>
      <c r="E114" s="1"/>
      <c r="F114" s="1"/>
      <c r="G114" s="1"/>
      <c r="H114" s="1"/>
      <c r="I114" s="1"/>
      <c r="J114" s="1"/>
      <c r="K114" s="10"/>
      <c r="L114" s="1"/>
      <c r="M114" s="1"/>
      <c r="R114" s="1"/>
      <c r="S114" s="1"/>
      <c r="X114" s="1"/>
      <c r="Y114" s="1"/>
      <c r="Z114" s="1"/>
    </row>
    <row r="115" spans="1:26" ht="9.75" customHeight="1" x14ac:dyDescent="0.35">
      <c r="A115" s="12" t="s">
        <v>338</v>
      </c>
      <c r="B115" s="4" t="s">
        <v>339</v>
      </c>
      <c r="C115" s="13" t="s">
        <v>340</v>
      </c>
      <c r="E115" s="1"/>
      <c r="F115" s="1"/>
      <c r="G115" s="1"/>
      <c r="H115" s="1"/>
      <c r="I115" s="1"/>
      <c r="J115" s="1"/>
      <c r="K115" s="10"/>
      <c r="L115" s="1"/>
      <c r="M115" s="1"/>
      <c r="R115" s="1"/>
      <c r="S115" s="1"/>
      <c r="X115" s="1"/>
      <c r="Y115" s="1"/>
      <c r="Z115" s="1"/>
    </row>
    <row r="116" spans="1:26" ht="9.75" customHeight="1" x14ac:dyDescent="0.35">
      <c r="A116" s="12" t="s">
        <v>341</v>
      </c>
      <c r="B116" s="4" t="s">
        <v>342</v>
      </c>
      <c r="C116" s="13" t="s">
        <v>343</v>
      </c>
      <c r="E116" s="1"/>
      <c r="F116" s="1"/>
      <c r="G116" s="1"/>
      <c r="K116" s="10"/>
      <c r="L116" s="1"/>
      <c r="M116" s="1"/>
      <c r="R116" s="1"/>
      <c r="S116" s="1"/>
      <c r="X116" s="1"/>
      <c r="Y116" s="1"/>
      <c r="Z116" s="1"/>
    </row>
    <row r="117" spans="1:26" ht="9.75" customHeight="1" x14ac:dyDescent="0.35">
      <c r="A117" s="12" t="s">
        <v>344</v>
      </c>
      <c r="B117" s="4" t="s">
        <v>345</v>
      </c>
      <c r="C117" s="13" t="s">
        <v>346</v>
      </c>
      <c r="E117" s="1"/>
      <c r="F117" s="1"/>
      <c r="G117" s="1"/>
      <c r="K117" s="10"/>
      <c r="L117" s="1"/>
      <c r="M117" s="1"/>
      <c r="R117" s="1"/>
      <c r="S117" s="1"/>
      <c r="X117" s="1"/>
      <c r="Y117" s="1"/>
      <c r="Z117" s="1"/>
    </row>
    <row r="118" spans="1:26" ht="9.75" customHeight="1" x14ac:dyDescent="0.35">
      <c r="A118" s="12" t="s">
        <v>347</v>
      </c>
      <c r="B118" s="4" t="s">
        <v>348</v>
      </c>
      <c r="C118" s="13" t="s">
        <v>349</v>
      </c>
      <c r="E118" s="1"/>
      <c r="F118" s="1"/>
      <c r="G118" s="1"/>
      <c r="K118" s="10"/>
      <c r="L118" s="1"/>
      <c r="M118" s="1"/>
      <c r="R118" s="1"/>
      <c r="S118" s="1"/>
      <c r="X118" s="1"/>
      <c r="Y118" s="1"/>
      <c r="Z118" s="1"/>
    </row>
    <row r="119" spans="1:26" ht="9.75" customHeight="1" x14ac:dyDescent="0.35">
      <c r="A119" s="12" t="s">
        <v>350</v>
      </c>
      <c r="B119" s="4" t="s">
        <v>351</v>
      </c>
      <c r="C119" s="13" t="s">
        <v>352</v>
      </c>
      <c r="E119" s="1"/>
      <c r="F119" s="1"/>
      <c r="G119" s="1"/>
      <c r="K119" s="10"/>
      <c r="L119" s="1"/>
      <c r="M119" s="1"/>
      <c r="R119" s="1"/>
      <c r="S119" s="1"/>
      <c r="X119" s="1"/>
      <c r="Y119" s="1"/>
      <c r="Z119" s="1"/>
    </row>
    <row r="120" spans="1:26" ht="9.75" customHeight="1" x14ac:dyDescent="0.35">
      <c r="E120" s="1"/>
      <c r="F120" s="1"/>
      <c r="G120" s="1"/>
      <c r="H120" s="1"/>
      <c r="I120" s="1"/>
      <c r="J120" s="2"/>
      <c r="K120" s="10"/>
      <c r="L120" s="1"/>
      <c r="M120" s="1"/>
      <c r="R120" s="1"/>
      <c r="S120" s="1"/>
      <c r="X120" s="1"/>
      <c r="Y120" s="1"/>
      <c r="Z120" s="1"/>
    </row>
    <row r="121" spans="1:26" ht="9.75" customHeight="1" x14ac:dyDescent="0.35">
      <c r="A121" s="38" t="s">
        <v>353</v>
      </c>
      <c r="B121" s="39"/>
      <c r="C121" s="39"/>
      <c r="D121" s="39"/>
      <c r="G121" s="38" t="s">
        <v>354</v>
      </c>
      <c r="H121" s="38"/>
      <c r="I121" s="38"/>
      <c r="J121" s="38"/>
      <c r="K121" s="10"/>
      <c r="L121" s="1"/>
      <c r="M121" s="1"/>
      <c r="R121" s="1"/>
      <c r="S121" s="1"/>
      <c r="X121" s="1"/>
      <c r="Y121" s="1"/>
      <c r="Z121" s="1"/>
    </row>
    <row r="122" spans="1:26" ht="9.75" customHeight="1" x14ac:dyDescent="0.35">
      <c r="A122" s="39"/>
      <c r="B122" s="39"/>
      <c r="C122" s="39"/>
      <c r="D122" s="39"/>
      <c r="E122" s="1"/>
      <c r="F122" s="1"/>
      <c r="G122" s="38"/>
      <c r="H122" s="38"/>
      <c r="I122" s="38"/>
      <c r="J122" s="38"/>
      <c r="K122" s="10"/>
      <c r="L122" s="1"/>
      <c r="M122" s="1"/>
      <c r="R122" s="1"/>
      <c r="S122" s="1"/>
      <c r="W122" s="2"/>
      <c r="X122" s="1"/>
      <c r="Y122" s="1"/>
      <c r="Z122" s="1"/>
    </row>
    <row r="123" spans="1:26" ht="15.75" customHeight="1" x14ac:dyDescent="0.35">
      <c r="A123" s="4" t="s">
        <v>0</v>
      </c>
      <c r="B123" s="4" t="s">
        <v>1</v>
      </c>
      <c r="C123" s="5" t="s">
        <v>2</v>
      </c>
      <c r="D123" s="4" t="s">
        <v>3</v>
      </c>
      <c r="G123" s="4" t="s">
        <v>0</v>
      </c>
      <c r="H123" s="4" t="s">
        <v>1</v>
      </c>
      <c r="I123" s="5" t="s">
        <v>2</v>
      </c>
      <c r="J123" s="4" t="s">
        <v>3</v>
      </c>
      <c r="K123" s="10"/>
      <c r="L123" s="1"/>
      <c r="M123" s="1"/>
      <c r="R123" s="1"/>
      <c r="S123" s="1"/>
      <c r="W123" s="2"/>
      <c r="X123" s="1"/>
      <c r="Y123" s="1"/>
      <c r="Z123" s="1"/>
    </row>
    <row r="124" spans="1:26" ht="9.75" customHeight="1" x14ac:dyDescent="0.35">
      <c r="A124" s="6" t="s">
        <v>355</v>
      </c>
      <c r="B124" s="4" t="s">
        <v>5</v>
      </c>
      <c r="C124" s="13">
        <v>8.6330737500000012</v>
      </c>
      <c r="D124" s="4">
        <v>10</v>
      </c>
      <c r="G124" s="6" t="s">
        <v>357</v>
      </c>
      <c r="H124" s="4" t="s">
        <v>5</v>
      </c>
      <c r="I124" s="13">
        <v>25.899221250000004</v>
      </c>
      <c r="J124" s="4">
        <v>10</v>
      </c>
      <c r="K124" s="10"/>
      <c r="L124" s="1"/>
      <c r="M124" s="1"/>
      <c r="R124" s="1"/>
      <c r="S124" s="1"/>
      <c r="T124" s="1"/>
      <c r="U124" s="1"/>
      <c r="V124" s="1"/>
      <c r="W124" s="2"/>
      <c r="X124" s="1"/>
      <c r="Y124" s="1"/>
      <c r="Z124" s="1"/>
    </row>
    <row r="125" spans="1:26" ht="9.75" customHeight="1" x14ac:dyDescent="0.35">
      <c r="A125" s="6" t="s">
        <v>356</v>
      </c>
      <c r="B125" s="4" t="s">
        <v>6</v>
      </c>
      <c r="C125" s="13">
        <v>13.964763749999998</v>
      </c>
      <c r="D125" s="4">
        <v>10</v>
      </c>
      <c r="G125" s="6" t="s">
        <v>359</v>
      </c>
      <c r="H125" s="4" t="s">
        <v>6</v>
      </c>
      <c r="I125" s="13">
        <v>41.894291249999995</v>
      </c>
      <c r="J125" s="4">
        <v>10</v>
      </c>
      <c r="K125" s="1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 x14ac:dyDescent="0.35">
      <c r="A126" s="6" t="s">
        <v>358</v>
      </c>
      <c r="B126" s="4" t="s">
        <v>7</v>
      </c>
      <c r="C126" s="13">
        <v>20.832000000000001</v>
      </c>
      <c r="D126" s="4">
        <v>5</v>
      </c>
      <c r="G126" s="6" t="s">
        <v>361</v>
      </c>
      <c r="H126" s="4" t="s">
        <v>7</v>
      </c>
      <c r="I126" s="13">
        <v>62.496000000000002</v>
      </c>
      <c r="J126" s="4">
        <v>5</v>
      </c>
      <c r="K126" s="1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 x14ac:dyDescent="0.35">
      <c r="A127" s="6">
        <v>0</v>
      </c>
      <c r="B127" s="4" t="s">
        <v>8</v>
      </c>
      <c r="C127" s="13">
        <v>30.626294999999999</v>
      </c>
      <c r="D127" s="4">
        <v>5</v>
      </c>
      <c r="G127" s="6">
        <v>0</v>
      </c>
      <c r="H127" s="4" t="s">
        <v>8</v>
      </c>
      <c r="I127" s="13">
        <v>91.878884999999997</v>
      </c>
      <c r="J127" s="4">
        <v>5</v>
      </c>
      <c r="K127" s="1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 x14ac:dyDescent="0.35">
      <c r="A128" s="6" t="s">
        <v>360</v>
      </c>
      <c r="B128" s="4" t="s">
        <v>9</v>
      </c>
      <c r="C128" s="13">
        <v>37.266494999999992</v>
      </c>
      <c r="D128" s="4">
        <v>5</v>
      </c>
      <c r="G128" s="6" t="s">
        <v>363</v>
      </c>
      <c r="H128" s="4" t="s">
        <v>9</v>
      </c>
      <c r="I128" s="13">
        <v>111.79948499999998</v>
      </c>
      <c r="J128" s="4">
        <v>5</v>
      </c>
      <c r="K128" s="1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 x14ac:dyDescent="0.35">
      <c r="A129" s="6" t="s">
        <v>362</v>
      </c>
      <c r="B129" s="4" t="s">
        <v>10</v>
      </c>
      <c r="C129" s="13">
        <v>37.266494999999992</v>
      </c>
      <c r="D129" s="4">
        <v>5</v>
      </c>
      <c r="G129" s="6" t="s">
        <v>365</v>
      </c>
      <c r="H129" s="4" t="s">
        <v>10</v>
      </c>
      <c r="I129" s="13">
        <v>111.79948499999998</v>
      </c>
      <c r="J129" s="4">
        <v>5</v>
      </c>
      <c r="K129" s="1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 x14ac:dyDescent="0.35">
      <c r="A130" s="6">
        <v>0</v>
      </c>
      <c r="B130" s="4" t="s">
        <v>11</v>
      </c>
      <c r="C130" s="13">
        <v>52.499894999999995</v>
      </c>
      <c r="D130" s="4">
        <v>2</v>
      </c>
      <c r="G130" s="6">
        <v>0</v>
      </c>
      <c r="H130" s="4" t="s">
        <v>11</v>
      </c>
      <c r="I130" s="13">
        <v>157.499685</v>
      </c>
      <c r="J130" s="4">
        <v>2</v>
      </c>
      <c r="K130" s="1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 x14ac:dyDescent="0.35">
      <c r="A131" s="6" t="s">
        <v>364</v>
      </c>
      <c r="B131" s="4" t="s">
        <v>12</v>
      </c>
      <c r="C131" s="13">
        <v>66.375439199999988</v>
      </c>
      <c r="D131" s="4">
        <v>2</v>
      </c>
      <c r="G131" s="6" t="s">
        <v>367</v>
      </c>
      <c r="H131" s="4" t="s">
        <v>12</v>
      </c>
      <c r="I131" s="13">
        <v>199.12631759999996</v>
      </c>
      <c r="J131" s="4">
        <v>2</v>
      </c>
      <c r="K131" s="1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 x14ac:dyDescent="0.35">
      <c r="A132" s="6" t="s">
        <v>366</v>
      </c>
      <c r="B132" s="4" t="s">
        <v>13</v>
      </c>
      <c r="C132" s="13">
        <v>87.4</v>
      </c>
      <c r="D132" s="4">
        <v>1</v>
      </c>
      <c r="G132" s="6" t="s">
        <v>368</v>
      </c>
      <c r="H132" s="4" t="s">
        <v>13</v>
      </c>
      <c r="I132" s="13">
        <v>246.2</v>
      </c>
      <c r="J132" s="4">
        <v>1</v>
      </c>
      <c r="K132" s="1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 x14ac:dyDescent="0.35">
      <c r="A133" s="38" t="s">
        <v>369</v>
      </c>
      <c r="B133" s="39"/>
      <c r="C133" s="39"/>
      <c r="D133" s="39"/>
      <c r="G133" s="1"/>
      <c r="H133" s="1"/>
      <c r="I133" s="1"/>
      <c r="J133" s="2"/>
      <c r="K133" s="1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 x14ac:dyDescent="0.35">
      <c r="A134" s="39"/>
      <c r="B134" s="39"/>
      <c r="C134" s="39"/>
      <c r="D134" s="39"/>
      <c r="G134" s="38" t="s">
        <v>370</v>
      </c>
      <c r="H134" s="39"/>
      <c r="I134" s="39"/>
      <c r="J134" s="39"/>
      <c r="K134" s="1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 x14ac:dyDescent="0.35">
      <c r="A135" s="4" t="s">
        <v>0</v>
      </c>
      <c r="B135" s="4" t="s">
        <v>1</v>
      </c>
      <c r="C135" s="5" t="s">
        <v>21</v>
      </c>
      <c r="D135" s="14"/>
      <c r="G135" s="44"/>
      <c r="H135" s="44"/>
      <c r="I135" s="44"/>
      <c r="J135" s="4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 x14ac:dyDescent="0.35">
      <c r="A136" s="12" t="s">
        <v>371</v>
      </c>
      <c r="B136" s="4" t="s">
        <v>4</v>
      </c>
      <c r="C136" s="7" t="s">
        <v>372</v>
      </c>
      <c r="D136" s="15"/>
      <c r="G136" s="4" t="s">
        <v>0</v>
      </c>
      <c r="H136" s="4" t="s">
        <v>1</v>
      </c>
      <c r="I136" s="5" t="s">
        <v>21</v>
      </c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 x14ac:dyDescent="0.35">
      <c r="A137" s="12" t="s">
        <v>373</v>
      </c>
      <c r="B137" s="4" t="s">
        <v>5</v>
      </c>
      <c r="C137" s="7" t="s">
        <v>374</v>
      </c>
      <c r="D137" s="15"/>
      <c r="G137" s="12" t="s">
        <v>375</v>
      </c>
      <c r="H137" s="4" t="s">
        <v>4</v>
      </c>
      <c r="I137" s="13" t="s">
        <v>376</v>
      </c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 x14ac:dyDescent="0.35">
      <c r="A138" s="12" t="s">
        <v>377</v>
      </c>
      <c r="B138" s="4" t="s">
        <v>6</v>
      </c>
      <c r="C138" s="7" t="s">
        <v>378</v>
      </c>
      <c r="D138" s="15"/>
      <c r="G138" s="12" t="s">
        <v>379</v>
      </c>
      <c r="H138" s="4" t="s">
        <v>5</v>
      </c>
      <c r="I138" s="13" t="s">
        <v>380</v>
      </c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 x14ac:dyDescent="0.35">
      <c r="A139" s="12" t="s">
        <v>381</v>
      </c>
      <c r="B139" s="4" t="s">
        <v>7</v>
      </c>
      <c r="C139" s="7" t="s">
        <v>382</v>
      </c>
      <c r="D139" s="15"/>
      <c r="G139" s="12" t="s">
        <v>383</v>
      </c>
      <c r="H139" s="4" t="s">
        <v>6</v>
      </c>
      <c r="I139" s="13" t="s">
        <v>166</v>
      </c>
      <c r="J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 x14ac:dyDescent="0.35">
      <c r="A140" s="12" t="s">
        <v>384</v>
      </c>
      <c r="B140" s="4" t="s">
        <v>35</v>
      </c>
      <c r="C140" s="7" t="s">
        <v>385</v>
      </c>
      <c r="D140" s="15"/>
      <c r="G140" s="12" t="s">
        <v>386</v>
      </c>
      <c r="H140" s="4" t="s">
        <v>7</v>
      </c>
      <c r="I140" s="13" t="s">
        <v>387</v>
      </c>
      <c r="J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 x14ac:dyDescent="0.35">
      <c r="A141" s="12" t="s">
        <v>388</v>
      </c>
      <c r="B141" s="4" t="s">
        <v>10</v>
      </c>
      <c r="C141" s="7" t="s">
        <v>385</v>
      </c>
      <c r="D141" s="15"/>
      <c r="G141" s="12" t="s">
        <v>389</v>
      </c>
      <c r="H141" s="4" t="s">
        <v>38</v>
      </c>
      <c r="I141" s="13" t="s">
        <v>390</v>
      </c>
      <c r="J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 x14ac:dyDescent="0.35">
      <c r="A142" s="12" t="s">
        <v>391</v>
      </c>
      <c r="B142" s="4" t="s">
        <v>11</v>
      </c>
      <c r="C142" s="7" t="s">
        <v>392</v>
      </c>
      <c r="D142" s="15"/>
      <c r="G142" s="12" t="s">
        <v>393</v>
      </c>
      <c r="H142" s="4" t="s">
        <v>12</v>
      </c>
      <c r="I142" s="13" t="s">
        <v>394</v>
      </c>
      <c r="J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 x14ac:dyDescent="0.35">
      <c r="A143" s="12" t="s">
        <v>395</v>
      </c>
      <c r="B143" s="4" t="s">
        <v>12</v>
      </c>
      <c r="C143" s="7" t="s">
        <v>396</v>
      </c>
      <c r="D143" s="15"/>
      <c r="G143" s="12" t="s">
        <v>397</v>
      </c>
      <c r="H143" s="4" t="s">
        <v>13</v>
      </c>
      <c r="I143" s="13" t="s">
        <v>398</v>
      </c>
      <c r="J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 x14ac:dyDescent="0.35">
      <c r="A144" s="12" t="s">
        <v>399</v>
      </c>
      <c r="B144" s="4" t="s">
        <v>13</v>
      </c>
      <c r="C144" s="7" t="s">
        <v>400</v>
      </c>
      <c r="D144" s="15"/>
      <c r="I144" s="40" t="s">
        <v>401</v>
      </c>
      <c r="J144" s="41"/>
      <c r="K144" s="4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 x14ac:dyDescent="0.35">
      <c r="A145" s="12" t="s">
        <v>402</v>
      </c>
      <c r="B145" s="4" t="s">
        <v>14</v>
      </c>
      <c r="C145" s="7" t="s">
        <v>403</v>
      </c>
      <c r="D145" s="15"/>
      <c r="I145" s="43"/>
      <c r="J145" s="44"/>
      <c r="K145" s="4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 x14ac:dyDescent="0.35">
      <c r="I146" s="40" t="s">
        <v>404</v>
      </c>
      <c r="J146" s="41"/>
      <c r="K146" s="4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 x14ac:dyDescent="0.35">
      <c r="I147" s="43"/>
      <c r="J147" s="44"/>
      <c r="K147" s="4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 x14ac:dyDescent="0.35">
      <c r="I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 x14ac:dyDescent="0.35">
      <c r="I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 x14ac:dyDescent="0.35"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 x14ac:dyDescent="0.35"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 x14ac:dyDescent="0.35">
      <c r="A152" s="38" t="s">
        <v>407</v>
      </c>
      <c r="B152" s="39"/>
      <c r="C152" s="39"/>
      <c r="D152" s="39"/>
      <c r="E152" s="1"/>
      <c r="F152" s="1"/>
      <c r="G152" s="1"/>
      <c r="H152" s="38" t="s">
        <v>408</v>
      </c>
      <c r="I152" s="39"/>
      <c r="J152" s="39"/>
      <c r="K152" s="39"/>
      <c r="L152" s="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 x14ac:dyDescent="0.35">
      <c r="A153" s="4" t="s">
        <v>0</v>
      </c>
      <c r="B153" s="4" t="s">
        <v>1</v>
      </c>
      <c r="C153" s="5" t="s">
        <v>58</v>
      </c>
      <c r="D153" s="14"/>
      <c r="E153" s="1"/>
      <c r="F153" s="1"/>
      <c r="G153" s="1"/>
      <c r="H153" s="29" t="s">
        <v>0</v>
      </c>
      <c r="I153" s="29" t="s">
        <v>1</v>
      </c>
      <c r="J153" s="30" t="s">
        <v>58</v>
      </c>
      <c r="K153" s="1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 x14ac:dyDescent="0.35">
      <c r="A154" s="6" t="s">
        <v>409</v>
      </c>
      <c r="B154" s="4" t="s">
        <v>38</v>
      </c>
      <c r="C154" s="13" t="s">
        <v>410</v>
      </c>
      <c r="D154" s="15"/>
      <c r="E154" s="1"/>
      <c r="F154" s="1"/>
      <c r="G154" s="1"/>
      <c r="H154" s="6" t="s">
        <v>411</v>
      </c>
      <c r="I154" s="4" t="s">
        <v>38</v>
      </c>
      <c r="J154" s="13" t="s">
        <v>412</v>
      </c>
      <c r="K154" s="1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 x14ac:dyDescent="0.35">
      <c r="A155" s="6" t="s">
        <v>413</v>
      </c>
      <c r="B155" s="4" t="s">
        <v>13</v>
      </c>
      <c r="C155" s="13" t="s">
        <v>414</v>
      </c>
      <c r="D155" s="15"/>
      <c r="E155" s="1"/>
      <c r="F155" s="1"/>
      <c r="G155" s="1"/>
      <c r="H155" s="6" t="s">
        <v>415</v>
      </c>
      <c r="I155" s="4" t="s">
        <v>13</v>
      </c>
      <c r="J155" s="13" t="s">
        <v>416</v>
      </c>
      <c r="K155" s="1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 x14ac:dyDescent="0.35">
      <c r="A156" s="6" t="s">
        <v>417</v>
      </c>
      <c r="B156" s="4" t="s">
        <v>15</v>
      </c>
      <c r="C156" s="13" t="s">
        <v>418</v>
      </c>
      <c r="D156" s="15"/>
      <c r="E156" s="1"/>
      <c r="F156" s="1"/>
      <c r="G156" s="1"/>
      <c r="H156" s="6" t="s">
        <v>419</v>
      </c>
      <c r="I156" s="4" t="s">
        <v>15</v>
      </c>
      <c r="J156" s="13" t="s">
        <v>420</v>
      </c>
      <c r="K156" s="1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 x14ac:dyDescent="0.35">
      <c r="A157" s="6" t="s">
        <v>421</v>
      </c>
      <c r="B157" s="4" t="s">
        <v>422</v>
      </c>
      <c r="C157" s="13" t="s">
        <v>423</v>
      </c>
      <c r="D157" s="15"/>
      <c r="E157" s="1"/>
      <c r="F157" s="1"/>
      <c r="G157" s="1"/>
      <c r="H157" s="6" t="s">
        <v>424</v>
      </c>
      <c r="I157" s="4" t="s">
        <v>422</v>
      </c>
      <c r="J157" s="13" t="s">
        <v>425</v>
      </c>
      <c r="K157" s="1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 x14ac:dyDescent="0.35">
      <c r="A158" s="6" t="s">
        <v>426</v>
      </c>
      <c r="B158" s="4" t="s">
        <v>427</v>
      </c>
      <c r="C158" s="13" t="s">
        <v>428</v>
      </c>
      <c r="D158" s="15"/>
      <c r="E158" s="1"/>
      <c r="F158" s="1"/>
      <c r="G158" s="1"/>
      <c r="H158" s="6" t="s">
        <v>429</v>
      </c>
      <c r="I158" s="4" t="s">
        <v>427</v>
      </c>
      <c r="J158" s="13" t="s">
        <v>430</v>
      </c>
      <c r="K158" s="1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 x14ac:dyDescent="0.35">
      <c r="A159" s="6" t="s">
        <v>431</v>
      </c>
      <c r="B159" s="4" t="s">
        <v>432</v>
      </c>
      <c r="C159" s="13" t="s">
        <v>433</v>
      </c>
      <c r="D159" s="15"/>
      <c r="E159" s="1"/>
      <c r="F159" s="1"/>
      <c r="G159" s="1"/>
      <c r="H159" s="6" t="s">
        <v>434</v>
      </c>
      <c r="I159" s="4" t="s">
        <v>432</v>
      </c>
      <c r="J159" s="13" t="s">
        <v>435</v>
      </c>
      <c r="K159" s="1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 x14ac:dyDescent="0.35">
      <c r="A160" s="6" t="s">
        <v>436</v>
      </c>
      <c r="B160" s="4" t="s">
        <v>437</v>
      </c>
      <c r="C160" s="13" t="s">
        <v>438</v>
      </c>
      <c r="D160" s="15"/>
      <c r="E160" s="1"/>
      <c r="F160" s="1"/>
      <c r="G160" s="1"/>
      <c r="H160" s="6" t="s">
        <v>439</v>
      </c>
      <c r="I160" s="4" t="s">
        <v>437</v>
      </c>
      <c r="J160" s="13" t="s">
        <v>440</v>
      </c>
      <c r="K160" s="1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 x14ac:dyDescent="0.35">
      <c r="A161" s="6" t="s">
        <v>441</v>
      </c>
      <c r="B161" s="4" t="s">
        <v>442</v>
      </c>
      <c r="C161" s="13" t="s">
        <v>443</v>
      </c>
      <c r="D161" s="15"/>
      <c r="E161" s="1"/>
      <c r="F161" s="1"/>
      <c r="G161" s="1"/>
      <c r="H161" s="6" t="s">
        <v>444</v>
      </c>
      <c r="I161" s="4" t="s">
        <v>442</v>
      </c>
      <c r="J161" s="13" t="s">
        <v>445</v>
      </c>
      <c r="K161" s="1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 x14ac:dyDescent="0.35">
      <c r="A162" s="6" t="s">
        <v>446</v>
      </c>
      <c r="B162" s="4" t="s">
        <v>447</v>
      </c>
      <c r="C162" s="13" t="s">
        <v>448</v>
      </c>
      <c r="D162" s="15"/>
      <c r="E162" s="1"/>
      <c r="F162" s="1"/>
      <c r="G162" s="1"/>
      <c r="H162" s="6" t="s">
        <v>449</v>
      </c>
      <c r="I162" s="4" t="s">
        <v>447</v>
      </c>
      <c r="J162" s="13" t="s">
        <v>450</v>
      </c>
      <c r="K162" s="1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 x14ac:dyDescent="0.35">
      <c r="A163" s="6" t="s">
        <v>451</v>
      </c>
      <c r="B163" s="4" t="s">
        <v>452</v>
      </c>
      <c r="C163" s="13" t="s">
        <v>453</v>
      </c>
      <c r="D163" s="15"/>
      <c r="E163" s="1"/>
      <c r="F163" s="1"/>
      <c r="G163" s="1"/>
      <c r="H163" s="6" t="s">
        <v>454</v>
      </c>
      <c r="I163" s="4" t="s">
        <v>452</v>
      </c>
      <c r="J163" s="13" t="s">
        <v>255</v>
      </c>
      <c r="K163" s="1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 x14ac:dyDescent="0.35">
      <c r="A164" s="9"/>
      <c r="B164" s="10"/>
      <c r="C164" s="1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7.5" customHeight="1" x14ac:dyDescent="0.35">
      <c r="A165" s="38" t="s">
        <v>455</v>
      </c>
      <c r="B165" s="39"/>
      <c r="C165" s="39"/>
      <c r="D165" s="39"/>
      <c r="E165" s="1"/>
      <c r="F165" s="1"/>
      <c r="G165" s="1"/>
      <c r="H165" s="38" t="s">
        <v>456</v>
      </c>
      <c r="I165" s="39"/>
      <c r="J165" s="39"/>
      <c r="K165" s="3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7.5" customHeight="1" x14ac:dyDescent="0.35">
      <c r="A166" s="44"/>
      <c r="B166" s="44"/>
      <c r="C166" s="44"/>
      <c r="D166" s="44"/>
      <c r="E166" s="1"/>
      <c r="F166" s="1"/>
      <c r="G166" s="1"/>
      <c r="H166" s="44"/>
      <c r="I166" s="44"/>
      <c r="J166" s="44"/>
      <c r="K166" s="4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 x14ac:dyDescent="0.35">
      <c r="A167" s="4" t="s">
        <v>0</v>
      </c>
      <c r="B167" s="4" t="s">
        <v>1</v>
      </c>
      <c r="C167" s="5" t="s">
        <v>58</v>
      </c>
      <c r="D167" s="14"/>
      <c r="E167" s="1"/>
      <c r="F167" s="1"/>
      <c r="G167" s="1"/>
      <c r="H167" s="4" t="s">
        <v>0</v>
      </c>
      <c r="I167" s="4" t="s">
        <v>1</v>
      </c>
      <c r="J167" s="5" t="s">
        <v>58</v>
      </c>
      <c r="K167" s="1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 x14ac:dyDescent="0.35">
      <c r="A168" s="6" t="s">
        <v>457</v>
      </c>
      <c r="B168" s="4" t="s">
        <v>38</v>
      </c>
      <c r="C168" s="13" t="s">
        <v>412</v>
      </c>
      <c r="D168" s="14"/>
      <c r="E168" s="10"/>
      <c r="F168" s="10"/>
      <c r="G168" s="10"/>
      <c r="H168" s="6" t="s">
        <v>458</v>
      </c>
      <c r="I168" s="4" t="s">
        <v>38</v>
      </c>
      <c r="J168" s="13" t="s">
        <v>459</v>
      </c>
      <c r="K168" s="14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9.75" customHeight="1" x14ac:dyDescent="0.35">
      <c r="A169" s="6" t="s">
        <v>460</v>
      </c>
      <c r="B169" s="4" t="s">
        <v>13</v>
      </c>
      <c r="C169" s="13" t="s">
        <v>420</v>
      </c>
      <c r="D169" s="14"/>
      <c r="E169" s="10"/>
      <c r="F169" s="10"/>
      <c r="G169" s="10"/>
      <c r="H169" s="6" t="s">
        <v>461</v>
      </c>
      <c r="I169" s="4" t="s">
        <v>13</v>
      </c>
      <c r="J169" s="13" t="s">
        <v>462</v>
      </c>
      <c r="K169" s="1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 x14ac:dyDescent="0.35">
      <c r="A170" s="6" t="s">
        <v>463</v>
      </c>
      <c r="B170" s="4" t="s">
        <v>15</v>
      </c>
      <c r="C170" s="13" t="s">
        <v>464</v>
      </c>
      <c r="D170" s="14"/>
      <c r="E170" s="10"/>
      <c r="F170" s="10"/>
      <c r="G170" s="10"/>
      <c r="H170" s="6" t="s">
        <v>465</v>
      </c>
      <c r="I170" s="4" t="s">
        <v>15</v>
      </c>
      <c r="J170" s="13" t="s">
        <v>466</v>
      </c>
      <c r="K170" s="1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 x14ac:dyDescent="0.35">
      <c r="A171" s="6" t="s">
        <v>467</v>
      </c>
      <c r="B171" s="4" t="s">
        <v>422</v>
      </c>
      <c r="C171" s="13" t="s">
        <v>423</v>
      </c>
      <c r="D171" s="14"/>
      <c r="E171" s="10"/>
      <c r="F171" s="10"/>
      <c r="G171" s="10"/>
      <c r="H171" s="6" t="s">
        <v>468</v>
      </c>
      <c r="I171" s="4" t="s">
        <v>422</v>
      </c>
      <c r="J171" s="13" t="s">
        <v>70</v>
      </c>
      <c r="K171" s="1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 x14ac:dyDescent="0.35">
      <c r="A172" s="6" t="s">
        <v>469</v>
      </c>
      <c r="B172" s="4" t="s">
        <v>427</v>
      </c>
      <c r="C172" s="13" t="s">
        <v>470</v>
      </c>
      <c r="D172" s="14"/>
      <c r="E172" s="10"/>
      <c r="F172" s="10"/>
      <c r="G172" s="10"/>
      <c r="H172" s="6" t="s">
        <v>471</v>
      </c>
      <c r="I172" s="4" t="s">
        <v>427</v>
      </c>
      <c r="J172" s="13" t="s">
        <v>472</v>
      </c>
      <c r="K172" s="1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 x14ac:dyDescent="0.35">
      <c r="A173" s="6" t="s">
        <v>473</v>
      </c>
      <c r="B173" s="4" t="s">
        <v>432</v>
      </c>
      <c r="C173" s="13" t="s">
        <v>474</v>
      </c>
      <c r="D173" s="14"/>
      <c r="E173" s="10"/>
      <c r="F173" s="10"/>
      <c r="G173" s="10"/>
      <c r="H173" s="6" t="s">
        <v>475</v>
      </c>
      <c r="I173" s="4" t="s">
        <v>432</v>
      </c>
      <c r="J173" s="13" t="s">
        <v>476</v>
      </c>
      <c r="K173" s="1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 x14ac:dyDescent="0.35">
      <c r="A174" s="6" t="s">
        <v>477</v>
      </c>
      <c r="B174" s="4" t="s">
        <v>437</v>
      </c>
      <c r="C174" s="13" t="s">
        <v>478</v>
      </c>
      <c r="D174" s="14"/>
      <c r="E174" s="10"/>
      <c r="F174" s="10"/>
      <c r="G174" s="10"/>
      <c r="H174" s="6" t="s">
        <v>479</v>
      </c>
      <c r="I174" s="4" t="s">
        <v>437</v>
      </c>
      <c r="J174" s="13" t="s">
        <v>480</v>
      </c>
      <c r="K174" s="1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 x14ac:dyDescent="0.35">
      <c r="A175" s="6" t="s">
        <v>481</v>
      </c>
      <c r="B175" s="4" t="s">
        <v>442</v>
      </c>
      <c r="C175" s="13" t="s">
        <v>482</v>
      </c>
      <c r="D175" s="14"/>
      <c r="E175" s="10"/>
      <c r="F175" s="10"/>
      <c r="G175" s="10"/>
      <c r="H175" s="6" t="s">
        <v>483</v>
      </c>
      <c r="I175" s="4" t="s">
        <v>442</v>
      </c>
      <c r="J175" s="13" t="s">
        <v>484</v>
      </c>
      <c r="K175" s="1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 x14ac:dyDescent="0.35">
      <c r="A176" s="6" t="s">
        <v>485</v>
      </c>
      <c r="B176" s="4" t="s">
        <v>447</v>
      </c>
      <c r="C176" s="13" t="s">
        <v>486</v>
      </c>
      <c r="D176" s="14"/>
      <c r="E176" s="10"/>
      <c r="F176" s="10"/>
      <c r="G176" s="10"/>
      <c r="H176" s="6" t="s">
        <v>487</v>
      </c>
      <c r="I176" s="4" t="s">
        <v>447</v>
      </c>
      <c r="J176" s="13" t="s">
        <v>488</v>
      </c>
      <c r="K176" s="1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 x14ac:dyDescent="0.35">
      <c r="A177" s="6" t="s">
        <v>489</v>
      </c>
      <c r="B177" s="4" t="s">
        <v>452</v>
      </c>
      <c r="C177" s="13" t="s">
        <v>490</v>
      </c>
      <c r="D177" s="14"/>
      <c r="E177" s="10"/>
      <c r="F177" s="10"/>
      <c r="G177" s="10"/>
      <c r="H177" s="6" t="s">
        <v>491</v>
      </c>
      <c r="I177" s="4" t="s">
        <v>452</v>
      </c>
      <c r="J177" s="13" t="s">
        <v>492</v>
      </c>
      <c r="K177" s="1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 x14ac:dyDescent="0.35">
      <c r="A178" s="6" t="s">
        <v>493</v>
      </c>
      <c r="B178" s="4" t="s">
        <v>494</v>
      </c>
      <c r="C178" s="13" t="s">
        <v>495</v>
      </c>
      <c r="D178" s="14"/>
      <c r="E178" s="10"/>
      <c r="F178" s="10"/>
      <c r="G178" s="10"/>
      <c r="H178" s="6" t="s">
        <v>496</v>
      </c>
      <c r="I178" s="4" t="s">
        <v>497</v>
      </c>
      <c r="J178" s="13" t="s">
        <v>498</v>
      </c>
      <c r="K178" s="1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 x14ac:dyDescent="0.35">
      <c r="A179" s="6" t="s">
        <v>499</v>
      </c>
      <c r="B179" s="4" t="s">
        <v>497</v>
      </c>
      <c r="C179" s="13" t="s">
        <v>500</v>
      </c>
      <c r="D179" s="14"/>
      <c r="E179" s="10"/>
      <c r="F179" s="10"/>
      <c r="G179" s="10"/>
      <c r="H179" s="6" t="s">
        <v>501</v>
      </c>
      <c r="I179" s="4" t="s">
        <v>502</v>
      </c>
      <c r="J179" s="13" t="s">
        <v>503</v>
      </c>
      <c r="K179" s="1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 x14ac:dyDescent="0.35">
      <c r="A180" s="6" t="s">
        <v>504</v>
      </c>
      <c r="B180" s="4" t="s">
        <v>502</v>
      </c>
      <c r="C180" s="13" t="s">
        <v>505</v>
      </c>
      <c r="D180" s="14"/>
      <c r="E180" s="10"/>
      <c r="F180" s="10"/>
      <c r="G180" s="10"/>
      <c r="H180" s="6" t="s">
        <v>506</v>
      </c>
      <c r="I180" s="4" t="s">
        <v>507</v>
      </c>
      <c r="J180" s="13" t="s">
        <v>508</v>
      </c>
      <c r="K180" s="1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 x14ac:dyDescent="0.35">
      <c r="A181" s="6" t="s">
        <v>509</v>
      </c>
      <c r="B181" s="4" t="s">
        <v>507</v>
      </c>
      <c r="C181" s="13" t="s">
        <v>510</v>
      </c>
      <c r="D181" s="14"/>
      <c r="E181" s="10"/>
      <c r="F181" s="10"/>
      <c r="G181" s="10"/>
      <c r="K181" s="1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 x14ac:dyDescent="0.35">
      <c r="A182" s="9"/>
      <c r="B182" s="10"/>
      <c r="C182" s="26"/>
      <c r="D182" s="10"/>
      <c r="E182" s="10"/>
      <c r="F182" s="10"/>
      <c r="G182" s="10"/>
      <c r="H182" s="9"/>
      <c r="I182" s="10"/>
      <c r="J182" s="26"/>
      <c r="K182" s="1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7.5" customHeight="1" x14ac:dyDescent="0.35">
      <c r="A183" s="38" t="s">
        <v>511</v>
      </c>
      <c r="B183" s="39"/>
      <c r="C183" s="39"/>
      <c r="D183" s="39"/>
      <c r="E183" s="39"/>
      <c r="F183" s="10"/>
      <c r="G183" s="10"/>
      <c r="H183" s="38" t="s">
        <v>512</v>
      </c>
      <c r="I183" s="39"/>
      <c r="J183" s="39"/>
      <c r="K183" s="3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7.5" customHeight="1" x14ac:dyDescent="0.35">
      <c r="A184" s="39"/>
      <c r="B184" s="39"/>
      <c r="C184" s="39"/>
      <c r="D184" s="39"/>
      <c r="E184" s="39"/>
      <c r="F184" s="1"/>
      <c r="G184" s="1"/>
      <c r="H184" s="44"/>
      <c r="I184" s="44"/>
      <c r="J184" s="44"/>
      <c r="K184" s="4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 x14ac:dyDescent="0.35">
      <c r="A185" s="4" t="s">
        <v>0</v>
      </c>
      <c r="B185" s="4" t="s">
        <v>1</v>
      </c>
      <c r="C185" s="5" t="s">
        <v>58</v>
      </c>
      <c r="D185" s="14"/>
      <c r="E185" s="1"/>
      <c r="F185" s="1"/>
      <c r="G185" s="1"/>
      <c r="H185" s="4" t="s">
        <v>0</v>
      </c>
      <c r="I185" s="4" t="s">
        <v>1</v>
      </c>
      <c r="J185" s="5" t="s">
        <v>58</v>
      </c>
      <c r="K185" s="1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 x14ac:dyDescent="0.35">
      <c r="A186" s="6" t="s">
        <v>513</v>
      </c>
      <c r="B186" s="4" t="s">
        <v>38</v>
      </c>
      <c r="C186" s="13" t="s">
        <v>514</v>
      </c>
      <c r="D186" s="14"/>
      <c r="E186" s="10"/>
      <c r="F186" s="10"/>
      <c r="G186" s="10"/>
      <c r="H186" s="6" t="s">
        <v>515</v>
      </c>
      <c r="I186" s="4" t="s">
        <v>38</v>
      </c>
      <c r="J186" s="13" t="s">
        <v>514</v>
      </c>
      <c r="K186" s="1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 x14ac:dyDescent="0.35">
      <c r="A187" s="6" t="s">
        <v>516</v>
      </c>
      <c r="B187" s="4" t="s">
        <v>13</v>
      </c>
      <c r="C187" s="13" t="s">
        <v>517</v>
      </c>
      <c r="D187" s="14"/>
      <c r="E187" s="10"/>
      <c r="F187" s="10"/>
      <c r="G187" s="10"/>
      <c r="H187" s="6" t="s">
        <v>518</v>
      </c>
      <c r="I187" s="4" t="s">
        <v>13</v>
      </c>
      <c r="J187" s="13" t="s">
        <v>517</v>
      </c>
      <c r="K187" s="1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 x14ac:dyDescent="0.35">
      <c r="A188" s="6" t="s">
        <v>519</v>
      </c>
      <c r="B188" s="4" t="s">
        <v>15</v>
      </c>
      <c r="C188" s="13" t="s">
        <v>520</v>
      </c>
      <c r="D188" s="14"/>
      <c r="E188" s="10"/>
      <c r="F188" s="10"/>
      <c r="G188" s="10"/>
      <c r="H188" s="6" t="s">
        <v>521</v>
      </c>
      <c r="I188" s="4" t="s">
        <v>15</v>
      </c>
      <c r="J188" s="13" t="s">
        <v>520</v>
      </c>
      <c r="K188" s="1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 x14ac:dyDescent="0.35">
      <c r="A189" s="6" t="s">
        <v>522</v>
      </c>
      <c r="B189" s="4" t="s">
        <v>422</v>
      </c>
      <c r="C189" s="13" t="s">
        <v>523</v>
      </c>
      <c r="D189" s="14"/>
      <c r="E189" s="10"/>
      <c r="F189" s="10"/>
      <c r="G189" s="10"/>
      <c r="H189" s="6" t="s">
        <v>524</v>
      </c>
      <c r="I189" s="4" t="s">
        <v>422</v>
      </c>
      <c r="J189" s="13" t="s">
        <v>523</v>
      </c>
      <c r="K189" s="1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 x14ac:dyDescent="0.35">
      <c r="A190" s="6" t="s">
        <v>525</v>
      </c>
      <c r="B190" s="4" t="s">
        <v>427</v>
      </c>
      <c r="C190" s="13" t="s">
        <v>526</v>
      </c>
      <c r="D190" s="14"/>
      <c r="E190" s="10"/>
      <c r="F190" s="10"/>
      <c r="G190" s="10"/>
      <c r="H190" s="6" t="s">
        <v>527</v>
      </c>
      <c r="I190" s="4" t="s">
        <v>427</v>
      </c>
      <c r="J190" s="13" t="s">
        <v>526</v>
      </c>
      <c r="K190" s="1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 x14ac:dyDescent="0.35">
      <c r="A191" s="6" t="s">
        <v>528</v>
      </c>
      <c r="B191" s="4" t="s">
        <v>432</v>
      </c>
      <c r="C191" s="13" t="s">
        <v>529</v>
      </c>
      <c r="D191" s="14"/>
      <c r="E191" s="10"/>
      <c r="F191" s="10"/>
      <c r="G191" s="10"/>
      <c r="H191" s="6" t="s">
        <v>530</v>
      </c>
      <c r="I191" s="4" t="s">
        <v>432</v>
      </c>
      <c r="J191" s="13" t="s">
        <v>529</v>
      </c>
      <c r="K191" s="1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 x14ac:dyDescent="0.35">
      <c r="A192" s="6" t="s">
        <v>531</v>
      </c>
      <c r="B192" s="4" t="s">
        <v>437</v>
      </c>
      <c r="C192" s="13" t="s">
        <v>532</v>
      </c>
      <c r="D192" s="14"/>
      <c r="E192" s="10"/>
      <c r="F192" s="10"/>
      <c r="G192" s="10"/>
      <c r="H192" s="6" t="s">
        <v>533</v>
      </c>
      <c r="I192" s="4" t="s">
        <v>437</v>
      </c>
      <c r="J192" s="13" t="s">
        <v>532</v>
      </c>
      <c r="K192" s="1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 x14ac:dyDescent="0.35">
      <c r="A193" s="6" t="s">
        <v>534</v>
      </c>
      <c r="B193" s="4" t="s">
        <v>442</v>
      </c>
      <c r="C193" s="13" t="s">
        <v>535</v>
      </c>
      <c r="D193" s="14"/>
      <c r="E193" s="10"/>
      <c r="F193" s="10"/>
      <c r="G193" s="10"/>
      <c r="H193" s="6" t="s">
        <v>536</v>
      </c>
      <c r="I193" s="4" t="s">
        <v>442</v>
      </c>
      <c r="J193" s="13" t="s">
        <v>535</v>
      </c>
      <c r="K193" s="1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 x14ac:dyDescent="0.35">
      <c r="A194" s="6" t="s">
        <v>537</v>
      </c>
      <c r="B194" s="4" t="s">
        <v>447</v>
      </c>
      <c r="C194" s="13" t="s">
        <v>538</v>
      </c>
      <c r="D194" s="14"/>
      <c r="E194" s="10"/>
      <c r="F194" s="10"/>
      <c r="G194" s="10"/>
      <c r="H194" s="6" t="s">
        <v>539</v>
      </c>
      <c r="I194" s="4" t="s">
        <v>447</v>
      </c>
      <c r="J194" s="13" t="s">
        <v>538</v>
      </c>
      <c r="K194" s="1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 x14ac:dyDescent="0.35">
      <c r="A195" s="6" t="s">
        <v>540</v>
      </c>
      <c r="B195" s="4" t="s">
        <v>452</v>
      </c>
      <c r="C195" s="13" t="s">
        <v>541</v>
      </c>
      <c r="D195" s="14"/>
      <c r="E195" s="10"/>
      <c r="F195" s="10"/>
      <c r="G195" s="10"/>
      <c r="H195" s="6" t="s">
        <v>542</v>
      </c>
      <c r="I195" s="4" t="s">
        <v>452</v>
      </c>
      <c r="J195" s="13" t="s">
        <v>541</v>
      </c>
      <c r="K195" s="1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 x14ac:dyDescent="0.35">
      <c r="A196" s="6" t="s">
        <v>543</v>
      </c>
      <c r="B196" s="4" t="s">
        <v>494</v>
      </c>
      <c r="C196" s="13" t="s">
        <v>544</v>
      </c>
      <c r="D196" s="14"/>
      <c r="E196" s="10"/>
      <c r="F196" s="10"/>
      <c r="G196" s="10"/>
      <c r="H196" s="6" t="s">
        <v>545</v>
      </c>
      <c r="I196" s="4" t="s">
        <v>494</v>
      </c>
      <c r="J196" s="13" t="s">
        <v>544</v>
      </c>
      <c r="K196" s="1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 x14ac:dyDescent="0.35">
      <c r="A197" s="6" t="s">
        <v>546</v>
      </c>
      <c r="B197" s="4" t="s">
        <v>497</v>
      </c>
      <c r="C197" s="13" t="s">
        <v>547</v>
      </c>
      <c r="D197" s="14"/>
      <c r="E197" s="10"/>
      <c r="F197" s="10"/>
      <c r="G197" s="10"/>
      <c r="H197" s="6" t="s">
        <v>548</v>
      </c>
      <c r="I197" s="4" t="s">
        <v>497</v>
      </c>
      <c r="J197" s="13" t="s">
        <v>547</v>
      </c>
      <c r="K197" s="1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 x14ac:dyDescent="0.35">
      <c r="A198" s="6" t="s">
        <v>549</v>
      </c>
      <c r="B198" s="4" t="s">
        <v>502</v>
      </c>
      <c r="C198" s="13" t="s">
        <v>550</v>
      </c>
      <c r="D198" s="14"/>
      <c r="E198" s="10"/>
      <c r="F198" s="10"/>
      <c r="G198" s="10"/>
      <c r="H198" s="6" t="s">
        <v>551</v>
      </c>
      <c r="I198" s="4" t="s">
        <v>502</v>
      </c>
      <c r="J198" s="13" t="s">
        <v>550</v>
      </c>
      <c r="K198" s="1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 x14ac:dyDescent="0.35">
      <c r="A199" s="6" t="s">
        <v>552</v>
      </c>
      <c r="B199" s="4" t="s">
        <v>507</v>
      </c>
      <c r="C199" s="13" t="s">
        <v>553</v>
      </c>
      <c r="D199" s="14"/>
      <c r="E199" s="10"/>
      <c r="F199" s="10"/>
      <c r="G199" s="10"/>
      <c r="H199" s="6" t="s">
        <v>554</v>
      </c>
      <c r="I199" s="4" t="s">
        <v>507</v>
      </c>
      <c r="J199" s="13" t="s">
        <v>553</v>
      </c>
      <c r="K199" s="1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 x14ac:dyDescent="0.35">
      <c r="A200" s="6" t="s">
        <v>555</v>
      </c>
      <c r="B200" s="4" t="s">
        <v>556</v>
      </c>
      <c r="C200" s="13" t="s">
        <v>557</v>
      </c>
      <c r="D200" s="14"/>
      <c r="E200" s="10"/>
      <c r="F200" s="10"/>
      <c r="G200" s="10"/>
      <c r="H200" s="6" t="s">
        <v>558</v>
      </c>
      <c r="I200" s="4" t="s">
        <v>556</v>
      </c>
      <c r="J200" s="13" t="s">
        <v>557</v>
      </c>
      <c r="K200" s="1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6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7.5" customHeight="1" x14ac:dyDescent="0.35">
      <c r="A202" s="38" t="s">
        <v>559</v>
      </c>
      <c r="B202" s="39"/>
      <c r="C202" s="39"/>
      <c r="D202" s="39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7.5" customHeight="1" x14ac:dyDescent="0.35">
      <c r="A203" s="44"/>
      <c r="B203" s="44"/>
      <c r="C203" s="44"/>
      <c r="D203" s="44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 x14ac:dyDescent="0.35">
      <c r="A204" s="4" t="s">
        <v>0</v>
      </c>
      <c r="B204" s="4" t="s">
        <v>1</v>
      </c>
      <c r="C204" s="5" t="s">
        <v>58</v>
      </c>
      <c r="D204" s="14"/>
      <c r="E204" s="1"/>
      <c r="F204" s="1"/>
      <c r="G204" s="1"/>
      <c r="H204" s="40" t="s">
        <v>405</v>
      </c>
      <c r="I204" s="41"/>
      <c r="J204" s="4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 x14ac:dyDescent="0.35">
      <c r="A205" s="6" t="s">
        <v>560</v>
      </c>
      <c r="B205" s="4" t="s">
        <v>38</v>
      </c>
      <c r="C205" s="13" t="s">
        <v>430</v>
      </c>
      <c r="D205" s="15"/>
      <c r="E205" s="1"/>
      <c r="F205" s="1"/>
      <c r="G205" s="1"/>
      <c r="H205" s="43"/>
      <c r="I205" s="44"/>
      <c r="J205" s="4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 x14ac:dyDescent="0.35">
      <c r="A206" s="6" t="s">
        <v>561</v>
      </c>
      <c r="B206" s="4" t="s">
        <v>13</v>
      </c>
      <c r="C206" s="13" t="s">
        <v>562</v>
      </c>
      <c r="D206" s="15"/>
      <c r="E206" s="1"/>
      <c r="F206" s="1"/>
      <c r="G206" s="1"/>
      <c r="H206" s="40" t="s">
        <v>406</v>
      </c>
      <c r="I206" s="41"/>
      <c r="J206" s="4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 x14ac:dyDescent="0.35">
      <c r="A207" s="6" t="s">
        <v>563</v>
      </c>
      <c r="B207" s="4" t="s">
        <v>15</v>
      </c>
      <c r="C207" s="13" t="s">
        <v>564</v>
      </c>
      <c r="D207" s="15"/>
      <c r="E207" s="1"/>
      <c r="F207" s="1"/>
      <c r="G207" s="1"/>
      <c r="H207" s="43"/>
      <c r="I207" s="44"/>
      <c r="J207" s="4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 x14ac:dyDescent="0.35">
      <c r="A208" s="6" t="s">
        <v>565</v>
      </c>
      <c r="B208" s="4" t="s">
        <v>422</v>
      </c>
      <c r="C208" s="13" t="s">
        <v>566</v>
      </c>
      <c r="D208" s="15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 x14ac:dyDescent="0.35">
      <c r="A209" s="6" t="s">
        <v>567</v>
      </c>
      <c r="B209" s="4" t="s">
        <v>427</v>
      </c>
      <c r="C209" s="13" t="s">
        <v>486</v>
      </c>
      <c r="D209" s="15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 x14ac:dyDescent="0.35">
      <c r="A210" s="6" t="s">
        <v>568</v>
      </c>
      <c r="B210" s="4" t="s">
        <v>432</v>
      </c>
      <c r="C210" s="13" t="s">
        <v>569</v>
      </c>
      <c r="D210" s="15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 x14ac:dyDescent="0.35">
      <c r="A211" s="6" t="s">
        <v>570</v>
      </c>
      <c r="B211" s="4" t="s">
        <v>437</v>
      </c>
      <c r="C211" s="13" t="s">
        <v>571</v>
      </c>
      <c r="D211" s="15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 x14ac:dyDescent="0.35">
      <c r="A212" s="6" t="s">
        <v>572</v>
      </c>
      <c r="B212" s="4" t="s">
        <v>442</v>
      </c>
      <c r="C212" s="13" t="s">
        <v>573</v>
      </c>
      <c r="D212" s="15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 x14ac:dyDescent="0.35">
      <c r="A213" s="6" t="s">
        <v>574</v>
      </c>
      <c r="B213" s="4" t="s">
        <v>447</v>
      </c>
      <c r="C213" s="13" t="s">
        <v>575</v>
      </c>
      <c r="D213" s="15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 x14ac:dyDescent="0.35">
      <c r="A214" s="6" t="s">
        <v>576</v>
      </c>
      <c r="B214" s="4" t="s">
        <v>452</v>
      </c>
      <c r="C214" s="13" t="s">
        <v>577</v>
      </c>
      <c r="D214" s="15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 x14ac:dyDescent="0.35">
      <c r="A215" s="6" t="s">
        <v>578</v>
      </c>
      <c r="B215" s="4" t="s">
        <v>494</v>
      </c>
      <c r="C215" s="13" t="s">
        <v>579</v>
      </c>
      <c r="D215" s="15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 x14ac:dyDescent="0.35">
      <c r="A216" s="6" t="s">
        <v>580</v>
      </c>
      <c r="B216" s="4" t="s">
        <v>497</v>
      </c>
      <c r="C216" s="13" t="s">
        <v>581</v>
      </c>
      <c r="D216" s="15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 x14ac:dyDescent="0.35">
      <c r="A217" s="6" t="s">
        <v>582</v>
      </c>
      <c r="B217" s="4" t="s">
        <v>502</v>
      </c>
      <c r="C217" s="13" t="s">
        <v>583</v>
      </c>
      <c r="D217" s="15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 x14ac:dyDescent="0.35">
      <c r="A218" s="6" t="s">
        <v>584</v>
      </c>
      <c r="B218" s="4" t="s">
        <v>507</v>
      </c>
      <c r="C218" s="13" t="s">
        <v>585</v>
      </c>
      <c r="D218" s="1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 x14ac:dyDescent="0.35">
      <c r="A219" s="31" t="s">
        <v>586</v>
      </c>
      <c r="B219" s="22" t="s">
        <v>556</v>
      </c>
      <c r="C219" s="32" t="s">
        <v>587</v>
      </c>
      <c r="D219" s="1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6.75" customHeight="1" x14ac:dyDescent="0.35">
      <c r="A220" s="33"/>
      <c r="B220" s="33"/>
      <c r="C220" s="34"/>
      <c r="D220" s="33"/>
      <c r="E220" s="35"/>
      <c r="F220" s="35"/>
      <c r="G220" s="35"/>
      <c r="H220" s="33"/>
      <c r="I220" s="33"/>
      <c r="J220" s="33"/>
      <c r="K220" s="3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7.5" customHeight="1" x14ac:dyDescent="0.35">
      <c r="A221" s="40" t="s">
        <v>588</v>
      </c>
      <c r="B221" s="41"/>
      <c r="C221" s="41"/>
      <c r="D221" s="42"/>
      <c r="E221" s="1"/>
      <c r="F221" s="1"/>
      <c r="G221" s="1"/>
      <c r="H221" s="40" t="s">
        <v>589</v>
      </c>
      <c r="I221" s="41"/>
      <c r="J221" s="41"/>
      <c r="K221" s="4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7.5" customHeight="1" x14ac:dyDescent="0.35">
      <c r="A222" s="43"/>
      <c r="B222" s="44"/>
      <c r="C222" s="44"/>
      <c r="D222" s="45"/>
      <c r="E222" s="1"/>
      <c r="F222" s="1"/>
      <c r="G222" s="1"/>
      <c r="H222" s="43"/>
      <c r="I222" s="44"/>
      <c r="J222" s="44"/>
      <c r="K222" s="4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 x14ac:dyDescent="0.35">
      <c r="A223" s="4" t="s">
        <v>0</v>
      </c>
      <c r="B223" s="49" t="s">
        <v>590</v>
      </c>
      <c r="C223" s="50"/>
      <c r="D223" s="5" t="s">
        <v>58</v>
      </c>
      <c r="E223" s="40" t="s">
        <v>591</v>
      </c>
      <c r="F223" s="41"/>
      <c r="G223" s="42"/>
      <c r="H223" s="4" t="s">
        <v>0</v>
      </c>
      <c r="I223" s="49" t="s">
        <v>590</v>
      </c>
      <c r="J223" s="50"/>
      <c r="K223" s="5" t="s">
        <v>58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 x14ac:dyDescent="0.35">
      <c r="A224" s="6" t="s">
        <v>592</v>
      </c>
      <c r="B224" s="51" t="s">
        <v>593</v>
      </c>
      <c r="C224" s="50"/>
      <c r="D224" s="13">
        <v>7.88</v>
      </c>
      <c r="E224" s="43"/>
      <c r="F224" s="44"/>
      <c r="G224" s="45"/>
      <c r="H224" s="4">
        <v>599</v>
      </c>
      <c r="I224" s="16" t="s">
        <v>594</v>
      </c>
      <c r="J224" s="16"/>
      <c r="K224" s="13">
        <v>4.8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 x14ac:dyDescent="0.35">
      <c r="A225" s="6" t="s">
        <v>595</v>
      </c>
      <c r="B225" s="51" t="s">
        <v>596</v>
      </c>
      <c r="C225" s="50"/>
      <c r="D225" s="13">
        <v>5.53</v>
      </c>
      <c r="E225" s="40" t="s">
        <v>597</v>
      </c>
      <c r="F225" s="41"/>
      <c r="G225" s="42"/>
      <c r="H225" s="4">
        <v>597</v>
      </c>
      <c r="I225" s="16" t="s">
        <v>598</v>
      </c>
      <c r="J225" s="16"/>
      <c r="K225" s="13">
        <v>6.45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 x14ac:dyDescent="0.35">
      <c r="A226" s="6" t="s">
        <v>599</v>
      </c>
      <c r="B226" s="51" t="s">
        <v>600</v>
      </c>
      <c r="C226" s="50"/>
      <c r="D226" s="13">
        <v>2.35</v>
      </c>
      <c r="E226" s="43"/>
      <c r="F226" s="44"/>
      <c r="G226" s="45"/>
      <c r="H226" s="4">
        <v>598</v>
      </c>
      <c r="I226" s="16" t="s">
        <v>601</v>
      </c>
      <c r="J226" s="16"/>
      <c r="K226" s="13">
        <v>5.28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2"/>
      <c r="K227" s="1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2"/>
      <c r="K228" s="1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2"/>
      <c r="K229" s="1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 x14ac:dyDescent="0.3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 x14ac:dyDescent="0.3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 x14ac:dyDescent="0.3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 x14ac:dyDescent="0.3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 x14ac:dyDescent="0.3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 x14ac:dyDescent="0.3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 x14ac:dyDescent="0.3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 x14ac:dyDescent="0.3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 x14ac:dyDescent="0.3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 x14ac:dyDescent="0.3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 x14ac:dyDescent="0.3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 x14ac:dyDescent="0.3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 x14ac:dyDescent="0.3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 x14ac:dyDescent="0.3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 x14ac:dyDescent="0.3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 x14ac:dyDescent="0.3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 x14ac:dyDescent="0.3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 x14ac:dyDescent="0.3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 x14ac:dyDescent="0.3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 x14ac:dyDescent="0.3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 x14ac:dyDescent="0.3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 x14ac:dyDescent="0.3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 x14ac:dyDescent="0.35">
      <c r="A263" s="1"/>
      <c r="B263" s="1"/>
      <c r="C263" s="2"/>
      <c r="D263" s="1"/>
      <c r="E263" s="1"/>
      <c r="F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/>
    <row r="428" spans="1:26" ht="15.75" customHeight="1" x14ac:dyDescent="0.35"/>
    <row r="429" spans="1:26" ht="15.75" customHeight="1" x14ac:dyDescent="0.35"/>
    <row r="430" spans="1:26" ht="15.75" customHeight="1" x14ac:dyDescent="0.35"/>
    <row r="431" spans="1:26" ht="15.75" customHeight="1" x14ac:dyDescent="0.35"/>
    <row r="432" spans="1:26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</sheetData>
  <mergeCells count="53">
    <mergeCell ref="G121:J122"/>
    <mergeCell ref="B224:C224"/>
    <mergeCell ref="B225:C225"/>
    <mergeCell ref="E225:G226"/>
    <mergeCell ref="B226:C226"/>
    <mergeCell ref="A202:D203"/>
    <mergeCell ref="A221:D222"/>
    <mergeCell ref="E223:G224"/>
    <mergeCell ref="H152:K152"/>
    <mergeCell ref="A133:D134"/>
    <mergeCell ref="G134:J135"/>
    <mergeCell ref="I144:K145"/>
    <mergeCell ref="I146:K147"/>
    <mergeCell ref="H112:I112"/>
    <mergeCell ref="H113:I113"/>
    <mergeCell ref="A121:D122"/>
    <mergeCell ref="B223:C223"/>
    <mergeCell ref="H204:J205"/>
    <mergeCell ref="H206:J207"/>
    <mergeCell ref="H221:K222"/>
    <mergeCell ref="I223:J223"/>
    <mergeCell ref="A165:D166"/>
    <mergeCell ref="H165:K166"/>
    <mergeCell ref="A183:E184"/>
    <mergeCell ref="H183:K184"/>
    <mergeCell ref="A152:D152"/>
    <mergeCell ref="H107:I107"/>
    <mergeCell ref="H108:I108"/>
    <mergeCell ref="H109:I109"/>
    <mergeCell ref="H110:I110"/>
    <mergeCell ref="H111:I111"/>
    <mergeCell ref="A102:D103"/>
    <mergeCell ref="G102:J103"/>
    <mergeCell ref="H104:I104"/>
    <mergeCell ref="H105:I105"/>
    <mergeCell ref="H106:I106"/>
    <mergeCell ref="A78:D79"/>
    <mergeCell ref="H78:K79"/>
    <mergeCell ref="A88:D89"/>
    <mergeCell ref="H88:K89"/>
    <mergeCell ref="A95:D96"/>
    <mergeCell ref="A48:D49"/>
    <mergeCell ref="H48:K49"/>
    <mergeCell ref="D62:G63"/>
    <mergeCell ref="D64:G65"/>
    <mergeCell ref="A67:D68"/>
    <mergeCell ref="H67:K68"/>
    <mergeCell ref="H2:K3"/>
    <mergeCell ref="A15:D16"/>
    <mergeCell ref="H15:J16"/>
    <mergeCell ref="H28:J29"/>
    <mergeCell ref="A29:D30"/>
    <mergeCell ref="A2:D3"/>
  </mergeCells>
  <pageMargins left="0.19685039370078738" right="7.874015748031496E-2" top="7.874015748031496E-2" bottom="0.11811023622047244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4.453125" defaultRowHeight="15" customHeight="1" x14ac:dyDescent="0.35"/>
  <cols>
    <col min="1" max="7" width="14.453125" customWidth="1"/>
  </cols>
  <sheetData>
    <row r="1" spans="1:7" ht="14.5" x14ac:dyDescent="0.35">
      <c r="A1" s="7">
        <v>1.5184</v>
      </c>
      <c r="B1" s="36">
        <f t="shared" ref="B1:C1" si="0">A1-(A1*0.04)</f>
        <v>1.4576640000000001</v>
      </c>
      <c r="C1" s="36">
        <f t="shared" si="0"/>
        <v>1.3993574400000002</v>
      </c>
      <c r="D1" s="28"/>
      <c r="E1" s="7">
        <v>1.8720000000000001</v>
      </c>
      <c r="F1" s="36">
        <f t="shared" ref="F1:G1" si="1">E1-(E1*0.04)</f>
        <v>1.7971200000000001</v>
      </c>
      <c r="G1" s="36">
        <f t="shared" si="1"/>
        <v>1.7252352</v>
      </c>
    </row>
    <row r="2" spans="1:7" ht="14.5" x14ac:dyDescent="0.35">
      <c r="A2" s="7">
        <v>1.6432</v>
      </c>
      <c r="B2" s="36">
        <f t="shared" ref="B2:C2" si="2">A2-(A2*0.04)</f>
        <v>1.577472</v>
      </c>
      <c r="C2" s="36">
        <f t="shared" si="2"/>
        <v>1.5143731199999999</v>
      </c>
      <c r="D2" s="28"/>
      <c r="E2" s="7">
        <v>2.0072000000000001</v>
      </c>
      <c r="F2" s="36">
        <f t="shared" ref="F2:G2" si="3">E2-(E2*0.04)</f>
        <v>1.9269120000000002</v>
      </c>
      <c r="G2" s="36">
        <f t="shared" si="3"/>
        <v>1.8498355200000001</v>
      </c>
    </row>
    <row r="3" spans="1:7" ht="14.5" x14ac:dyDescent="0.35">
      <c r="A3" s="7">
        <v>2.6415999999999999</v>
      </c>
      <c r="B3" s="36">
        <f t="shared" ref="B3:C3" si="4">A3-(A3*0.04)</f>
        <v>2.535936</v>
      </c>
      <c r="C3" s="36">
        <f t="shared" si="4"/>
        <v>2.4344985599999998</v>
      </c>
      <c r="D3" s="28"/>
      <c r="E3" s="7">
        <v>3.2448000000000001</v>
      </c>
      <c r="F3" s="36">
        <f t="shared" ref="F3:G3" si="5">E3-(E3*0.04)</f>
        <v>3.115008</v>
      </c>
      <c r="G3" s="36">
        <f t="shared" si="5"/>
        <v>2.9904076800000001</v>
      </c>
    </row>
    <row r="4" spans="1:7" ht="14.5" x14ac:dyDescent="0.35">
      <c r="A4" s="7">
        <v>3.9104000000000001</v>
      </c>
      <c r="B4" s="36">
        <f t="shared" ref="B4:C4" si="6">A4-(A4*0.04)</f>
        <v>3.753984</v>
      </c>
      <c r="C4" s="36">
        <f t="shared" si="6"/>
        <v>3.60382464</v>
      </c>
      <c r="D4" s="28"/>
      <c r="E4" s="7">
        <v>4.8048000000000002</v>
      </c>
      <c r="F4" s="36">
        <f t="shared" ref="F4:G4" si="7">E4-(E4*0.04)</f>
        <v>4.6126079999999998</v>
      </c>
      <c r="G4" s="36">
        <f t="shared" si="7"/>
        <v>4.4281036799999995</v>
      </c>
    </row>
    <row r="5" spans="1:7" ht="14.5" x14ac:dyDescent="0.35">
      <c r="A5" s="7">
        <v>5.5536000000000003</v>
      </c>
      <c r="B5" s="36">
        <f t="shared" ref="B5:C5" si="8">A5-(A5*0.04)</f>
        <v>5.3314560000000002</v>
      </c>
      <c r="C5" s="36">
        <f t="shared" si="8"/>
        <v>5.1181977600000002</v>
      </c>
      <c r="D5" s="28"/>
      <c r="E5" s="7">
        <v>6.8224</v>
      </c>
      <c r="F5" s="36">
        <f t="shared" ref="F5:G5" si="9">E5-(E5*0.04)</f>
        <v>6.5495039999999998</v>
      </c>
      <c r="G5" s="36">
        <f t="shared" si="9"/>
        <v>6.2875238399999995</v>
      </c>
    </row>
    <row r="6" spans="1:7" ht="14.5" x14ac:dyDescent="0.35">
      <c r="A6" s="7">
        <v>6.9992000000000001</v>
      </c>
      <c r="B6" s="36">
        <f t="shared" ref="B6:C6" si="10">A6-(A6*0.04)</f>
        <v>6.7192319999999999</v>
      </c>
      <c r="C6" s="36">
        <f t="shared" si="10"/>
        <v>6.45046272</v>
      </c>
      <c r="D6" s="28"/>
      <c r="E6" s="7">
        <v>8.6007999999999996</v>
      </c>
      <c r="F6" s="36">
        <f t="shared" ref="F6:G6" si="11">E6-(E6*0.04)</f>
        <v>8.2567679999999992</v>
      </c>
      <c r="G6" s="36">
        <f t="shared" si="11"/>
        <v>7.9264972799999995</v>
      </c>
    </row>
    <row r="7" spans="1:7" ht="14.5" x14ac:dyDescent="0.35">
      <c r="A7" s="7">
        <v>6.9992000000000001</v>
      </c>
      <c r="B7" s="36">
        <f t="shared" ref="B7:C7" si="12">A7-(A7*0.04)</f>
        <v>6.7192319999999999</v>
      </c>
      <c r="C7" s="36">
        <f t="shared" si="12"/>
        <v>6.45046272</v>
      </c>
      <c r="D7" s="28"/>
      <c r="E7" s="7">
        <v>8.6007999999999996</v>
      </c>
      <c r="F7" s="36">
        <f t="shared" ref="F7:G7" si="13">E7-(E7*0.04)</f>
        <v>8.2567679999999992</v>
      </c>
      <c r="G7" s="36">
        <f t="shared" si="13"/>
        <v>7.9264972799999995</v>
      </c>
    </row>
    <row r="8" spans="1:7" ht="14.5" x14ac:dyDescent="0.35">
      <c r="A8" s="7">
        <v>12.939264</v>
      </c>
      <c r="B8" s="36">
        <f t="shared" ref="B8:C8" si="14">A8-(A8*0.04)</f>
        <v>12.42169344</v>
      </c>
      <c r="C8" s="36">
        <f t="shared" si="14"/>
        <v>11.9248257024</v>
      </c>
      <c r="D8" s="28"/>
      <c r="E8" s="7">
        <v>15.556319999999999</v>
      </c>
      <c r="F8" s="36">
        <f t="shared" ref="F8:G8" si="15">E8-(E8*0.04)</f>
        <v>14.934067199999999</v>
      </c>
      <c r="G8" s="36">
        <f t="shared" si="15"/>
        <v>14.336704511999999</v>
      </c>
    </row>
    <row r="9" spans="1:7" ht="14.5" x14ac:dyDescent="0.35">
      <c r="A9" s="7">
        <v>16.365023999999998</v>
      </c>
      <c r="B9" s="36">
        <f t="shared" ref="B9:C9" si="16">A9-(A9*0.04)</f>
        <v>15.710423039999998</v>
      </c>
      <c r="C9" s="36">
        <f t="shared" si="16"/>
        <v>15.082006118399999</v>
      </c>
      <c r="D9" s="28"/>
      <c r="E9" s="7">
        <v>19.667231999999998</v>
      </c>
      <c r="F9" s="36">
        <f t="shared" ref="F9:G9" si="17">E9-(E9*0.04)</f>
        <v>18.880542719999998</v>
      </c>
      <c r="G9" s="36">
        <f t="shared" si="17"/>
        <v>18.125321011199997</v>
      </c>
    </row>
    <row r="10" spans="1:7" ht="14.5" x14ac:dyDescent="0.35">
      <c r="A10" s="7">
        <v>23.69952</v>
      </c>
      <c r="B10" s="36">
        <f t="shared" ref="B10:C10" si="18">A10-(A10*0.04)</f>
        <v>22.7515392</v>
      </c>
      <c r="C10" s="36">
        <f t="shared" si="18"/>
        <v>21.841477632</v>
      </c>
      <c r="D10" s="28"/>
      <c r="E10" s="7">
        <v>28.484352000000001</v>
      </c>
      <c r="F10" s="36">
        <f t="shared" ref="F10:G10" si="19">E10-(E10*0.04)</f>
        <v>27.344977920000002</v>
      </c>
      <c r="G10" s="36">
        <f t="shared" si="19"/>
        <v>26.251178803200002</v>
      </c>
    </row>
    <row r="11" spans="1:7" ht="14.5" x14ac:dyDescent="0.35">
      <c r="A11" s="7">
        <v>32.606496</v>
      </c>
      <c r="B11" s="36">
        <f t="shared" ref="B11:C11" si="20">A11-(A11*0.04)</f>
        <v>31.30223616</v>
      </c>
      <c r="C11" s="36">
        <f t="shared" si="20"/>
        <v>30.0501467136</v>
      </c>
      <c r="D11" s="28"/>
      <c r="E11" s="7">
        <v>39.177216000000001</v>
      </c>
      <c r="F11" s="36">
        <f t="shared" ref="F11:G11" si="21">E11-(E11*0.04)</f>
        <v>37.61012736</v>
      </c>
      <c r="G11" s="36">
        <f t="shared" si="21"/>
        <v>36.105722265600001</v>
      </c>
    </row>
    <row r="12" spans="1:7" ht="14.5" x14ac:dyDescent="0.35">
      <c r="A12" s="7">
        <v>42.805152</v>
      </c>
      <c r="B12" s="36">
        <f t="shared" ref="B12:C12" si="22">A12-(A12*0.04)</f>
        <v>41.092945919999998</v>
      </c>
      <c r="C12" s="36">
        <f t="shared" si="22"/>
        <v>39.449228083199998</v>
      </c>
      <c r="D12" s="28"/>
      <c r="E12" s="7">
        <v>51.408864000000001</v>
      </c>
      <c r="F12" s="36">
        <f t="shared" ref="F12:G12" si="23">E12-(E12*0.04)</f>
        <v>49.352509439999999</v>
      </c>
      <c r="G12" s="36">
        <f t="shared" si="23"/>
        <v>47.378409062399996</v>
      </c>
    </row>
    <row r="13" spans="1:7" ht="14.5" x14ac:dyDescent="0.35">
      <c r="A13" s="7">
        <v>54.340415999999998</v>
      </c>
      <c r="B13" s="36">
        <f t="shared" ref="B13:C13" si="24">A13-(A13*0.04)</f>
        <v>52.166799359999999</v>
      </c>
      <c r="C13" s="36">
        <f t="shared" si="24"/>
        <v>50.080127385600001</v>
      </c>
      <c r="D13" s="28"/>
      <c r="E13" s="7">
        <v>65.224224000000007</v>
      </c>
      <c r="F13" s="36">
        <f t="shared" ref="F13:G13" si="25">E13-(E13*0.04)</f>
        <v>62.615255040000008</v>
      </c>
      <c r="G13" s="36">
        <f t="shared" si="25"/>
        <v>60.110644838400006</v>
      </c>
    </row>
    <row r="14" spans="1:7" ht="14.5" x14ac:dyDescent="0.35">
      <c r="A14" s="7">
        <v>67.436927999999995</v>
      </c>
      <c r="B14" s="36">
        <f t="shared" ref="B14:C14" si="26">A14-(A14*0.04)</f>
        <v>64.739450879999993</v>
      </c>
      <c r="C14" s="36">
        <f t="shared" si="26"/>
        <v>62.149872844799994</v>
      </c>
      <c r="D14" s="28"/>
      <c r="E14" s="7">
        <v>80.949023999999994</v>
      </c>
      <c r="F14" s="36">
        <f t="shared" ref="F14:G14" si="27">E14-(E14*0.04)</f>
        <v>77.711063039999999</v>
      </c>
      <c r="G14" s="36">
        <f t="shared" si="27"/>
        <v>74.602620518400002</v>
      </c>
    </row>
    <row r="15" spans="1:7" ht="14.5" x14ac:dyDescent="0.35">
      <c r="A15" s="7">
        <v>98.403552000000005</v>
      </c>
      <c r="B15" s="36">
        <f t="shared" ref="B15:C15" si="28">A15-(A15*0.04)</f>
        <v>94.467409920000009</v>
      </c>
      <c r="C15" s="36">
        <f t="shared" si="28"/>
        <v>90.688713523200008</v>
      </c>
      <c r="D15" s="28"/>
      <c r="E15" s="7">
        <v>118.362816</v>
      </c>
      <c r="F15" s="36">
        <f t="shared" ref="F15:G15" si="29">E15-(E15*0.04)</f>
        <v>113.62830335999999</v>
      </c>
      <c r="G15" s="36">
        <f t="shared" si="29"/>
        <v>109.08317122559998</v>
      </c>
    </row>
    <row r="17" spans="1:7" ht="14.5" x14ac:dyDescent="0.35">
      <c r="A17" s="7">
        <v>1.7991999999999999</v>
      </c>
      <c r="B17" s="36">
        <f t="shared" ref="B17:C17" si="30">A17-(A17*0.04)</f>
        <v>1.7272319999999999</v>
      </c>
      <c r="C17" s="36">
        <f t="shared" si="30"/>
        <v>1.6581427199999998</v>
      </c>
      <c r="D17" s="28"/>
      <c r="E17" s="7">
        <v>2.2048000000000001</v>
      </c>
      <c r="F17" s="36">
        <f t="shared" ref="F17:G17" si="31">E17-(E17*0.04)</f>
        <v>2.1166080000000003</v>
      </c>
      <c r="G17" s="36">
        <f t="shared" si="31"/>
        <v>2.0319436800000004</v>
      </c>
    </row>
    <row r="18" spans="1:7" ht="14.5" x14ac:dyDescent="0.35">
      <c r="A18" s="7">
        <v>3.0680000000000001</v>
      </c>
      <c r="B18" s="36">
        <f t="shared" ref="B18:C18" si="32">A18-(A18*0.04)</f>
        <v>2.9452799999999999</v>
      </c>
      <c r="C18" s="36">
        <f t="shared" si="32"/>
        <v>2.8274688000000001</v>
      </c>
      <c r="D18" s="28"/>
      <c r="E18" s="7">
        <v>3.7751999999999999</v>
      </c>
      <c r="F18" s="36">
        <f t="shared" ref="F18:G18" si="33">E18-(E18*0.04)</f>
        <v>3.6241919999999999</v>
      </c>
      <c r="G18" s="36">
        <f t="shared" si="33"/>
        <v>3.4792243199999997</v>
      </c>
    </row>
    <row r="19" spans="1:7" ht="14.5" x14ac:dyDescent="0.35">
      <c r="A19" s="7">
        <v>5.1063999999999998</v>
      </c>
      <c r="B19" s="36">
        <f t="shared" ref="B19:C19" si="34">A19-(A19*0.04)</f>
        <v>4.9021439999999998</v>
      </c>
      <c r="C19" s="36">
        <f t="shared" si="34"/>
        <v>4.7060582399999999</v>
      </c>
      <c r="D19" s="28"/>
      <c r="E19" s="7">
        <v>6.2919999999999998</v>
      </c>
      <c r="F19" s="36">
        <f t="shared" ref="F19:G19" si="35">E19-(E19*0.04)</f>
        <v>6.0403199999999995</v>
      </c>
      <c r="G19" s="36">
        <f t="shared" si="35"/>
        <v>5.7987071999999991</v>
      </c>
    </row>
    <row r="20" spans="1:7" ht="14.5" x14ac:dyDescent="0.35">
      <c r="A20" s="7">
        <v>7.5503999999999998</v>
      </c>
      <c r="B20" s="36">
        <f t="shared" ref="B20:C20" si="36">A20-(A20*0.04)</f>
        <v>7.2483839999999997</v>
      </c>
      <c r="C20" s="36">
        <f t="shared" si="36"/>
        <v>6.9584486399999994</v>
      </c>
      <c r="D20" s="28"/>
      <c r="E20" s="7">
        <v>9.2872000000000003</v>
      </c>
      <c r="F20" s="36">
        <f t="shared" ref="F20:G20" si="37">E20-(E20*0.04)</f>
        <v>8.915712000000001</v>
      </c>
      <c r="G20" s="36">
        <f t="shared" si="37"/>
        <v>8.5590835200000015</v>
      </c>
    </row>
    <row r="21" spans="1:7" ht="15.75" customHeight="1" x14ac:dyDescent="0.35">
      <c r="A21" s="7">
        <v>13.534560000000001</v>
      </c>
      <c r="B21" s="36">
        <f t="shared" ref="B21:C21" si="38">A21-(A21*0.04)</f>
        <v>12.993177600000001</v>
      </c>
      <c r="C21" s="36">
        <f t="shared" si="38"/>
        <v>12.473450496000002</v>
      </c>
      <c r="D21" s="28"/>
      <c r="E21" s="7">
        <v>16.263936000000001</v>
      </c>
      <c r="F21" s="36">
        <f t="shared" ref="F21:G21" si="39">E21-(E21*0.04)</f>
        <v>15.613378560000001</v>
      </c>
      <c r="G21" s="36">
        <f t="shared" si="39"/>
        <v>14.988843417600002</v>
      </c>
    </row>
    <row r="22" spans="1:7" ht="15.75" customHeight="1" x14ac:dyDescent="0.35">
      <c r="A22" s="7">
        <v>17.117567999999999</v>
      </c>
      <c r="B22" s="36">
        <f t="shared" ref="B22:C22" si="40">A22-(A22*0.04)</f>
        <v>16.432865279999998</v>
      </c>
      <c r="C22" s="36">
        <f t="shared" si="40"/>
        <v>15.775550668799998</v>
      </c>
      <c r="D22" s="28"/>
      <c r="E22" s="7">
        <v>20.588256000000001</v>
      </c>
      <c r="F22" s="36">
        <f t="shared" ref="F22:G22" si="41">E22-(E22*0.04)</f>
        <v>19.764725760000001</v>
      </c>
      <c r="G22" s="36">
        <f t="shared" si="41"/>
        <v>18.974136729600001</v>
      </c>
    </row>
    <row r="23" spans="1:7" ht="15.75" customHeight="1" x14ac:dyDescent="0.35">
      <c r="A23" s="7">
        <v>27.12528</v>
      </c>
      <c r="B23" s="36">
        <f t="shared" ref="B23:C23" si="42">A23-(A23*0.04)</f>
        <v>26.0402688</v>
      </c>
      <c r="C23" s="36">
        <f t="shared" si="42"/>
        <v>24.998658047999999</v>
      </c>
      <c r="D23" s="28"/>
      <c r="E23" s="7">
        <v>32.606496</v>
      </c>
      <c r="F23" s="36">
        <f t="shared" ref="F23:G23" si="43">E23-(E23*0.04)</f>
        <v>31.30223616</v>
      </c>
      <c r="G23" s="36">
        <f t="shared" si="43"/>
        <v>30.0501467136</v>
      </c>
    </row>
    <row r="24" spans="1:7" ht="15.75" customHeight="1" x14ac:dyDescent="0.35">
      <c r="A24" s="7">
        <v>40.614911999999997</v>
      </c>
      <c r="B24" s="36">
        <f t="shared" ref="B24:C24" si="44">A24-(A24*0.04)</f>
        <v>38.990315519999996</v>
      </c>
      <c r="C24" s="36">
        <f t="shared" si="44"/>
        <v>37.430702899199993</v>
      </c>
      <c r="D24" s="28"/>
      <c r="E24" s="7">
        <v>48.814272000000003</v>
      </c>
      <c r="F24" s="36">
        <f t="shared" ref="F24:G24" si="45">E24-(E24*0.04)</f>
        <v>46.861701119999999</v>
      </c>
      <c r="G24" s="36">
        <f t="shared" si="45"/>
        <v>44.987233075200002</v>
      </c>
    </row>
    <row r="25" spans="1:7" ht="15.75" customHeight="1" x14ac:dyDescent="0.35">
      <c r="A25" s="7">
        <v>63.550655999999996</v>
      </c>
      <c r="B25" s="36">
        <f t="shared" ref="B25:C25" si="46">A25-(A25*0.04)</f>
        <v>61.008629759999998</v>
      </c>
      <c r="C25" s="36">
        <f t="shared" si="46"/>
        <v>58.568284569599996</v>
      </c>
      <c r="D25" s="28"/>
      <c r="E25" s="7">
        <v>76.377600000000001</v>
      </c>
      <c r="F25" s="36">
        <f t="shared" ref="F25:G25" si="47">E25-(E25*0.04)</f>
        <v>73.322496000000001</v>
      </c>
      <c r="G25" s="36">
        <f t="shared" si="47"/>
        <v>70.389596159999996</v>
      </c>
    </row>
    <row r="26" spans="1:7" ht="15.75" customHeight="1" x14ac:dyDescent="0.35">
      <c r="A26" s="7">
        <v>100.223136</v>
      </c>
      <c r="B26" s="36">
        <f t="shared" ref="B26:C26" si="48">A26-(A26*0.04)</f>
        <v>96.214210559999998</v>
      </c>
      <c r="C26" s="36">
        <f t="shared" si="48"/>
        <v>92.365642137599991</v>
      </c>
      <c r="D26" s="28"/>
      <c r="E26" s="7">
        <v>119.609568</v>
      </c>
      <c r="F26" s="36">
        <f t="shared" ref="F26:G26" si="49">E26-(E26*0.04)</f>
        <v>114.82518528</v>
      </c>
      <c r="G26" s="36">
        <f t="shared" si="49"/>
        <v>110.23217786879999</v>
      </c>
    </row>
    <row r="27" spans="1:7" ht="15.75" customHeight="1" x14ac:dyDescent="0.35"/>
    <row r="28" spans="1:7" ht="15.75" customHeight="1" x14ac:dyDescent="0.35">
      <c r="A28" s="7">
        <v>9.1</v>
      </c>
      <c r="B28" s="36">
        <f t="shared" ref="B28:C28" si="50">A28-(A28*0.04)</f>
        <v>8.7359999999999989</v>
      </c>
      <c r="C28" s="36">
        <f t="shared" si="50"/>
        <v>8.3865599999999993</v>
      </c>
      <c r="D28" s="28"/>
      <c r="E28" s="7">
        <v>30.004000000000001</v>
      </c>
      <c r="F28" s="36">
        <f t="shared" ref="F28:G28" si="51">E28-(E28*0.04)</f>
        <v>28.803840000000001</v>
      </c>
      <c r="G28" s="36">
        <f t="shared" si="51"/>
        <v>27.651686400000003</v>
      </c>
    </row>
    <row r="29" spans="1:7" ht="15.75" customHeight="1" x14ac:dyDescent="0.35">
      <c r="A29" s="7">
        <v>12.490399999999999</v>
      </c>
      <c r="B29" s="36">
        <f t="shared" ref="B29:C29" si="52">A29-(A29*0.04)</f>
        <v>11.990784</v>
      </c>
      <c r="C29" s="36">
        <f t="shared" si="52"/>
        <v>11.511152639999999</v>
      </c>
      <c r="D29" s="28"/>
      <c r="E29" s="7">
        <v>32.739199999999997</v>
      </c>
      <c r="F29" s="36">
        <f t="shared" ref="F29:G29" si="53">E29-(E29*0.04)</f>
        <v>31.429631999999998</v>
      </c>
      <c r="G29" s="36">
        <f t="shared" si="53"/>
        <v>30.172446719999996</v>
      </c>
    </row>
    <row r="30" spans="1:7" ht="15.75" customHeight="1" x14ac:dyDescent="0.35">
      <c r="A30" s="7">
        <v>16.317599999999999</v>
      </c>
      <c r="B30" s="36">
        <f t="shared" ref="B30:C30" si="54">A30-(A30*0.04)</f>
        <v>15.664895999999999</v>
      </c>
      <c r="C30" s="36">
        <f t="shared" si="54"/>
        <v>15.038300159999999</v>
      </c>
      <c r="D30" s="28"/>
      <c r="E30" s="7">
        <v>34.527999999999999</v>
      </c>
      <c r="F30" s="36">
        <f t="shared" ref="F30:G30" si="55">E30-(E30*0.04)</f>
        <v>33.146879999999996</v>
      </c>
      <c r="G30" s="36">
        <f t="shared" si="55"/>
        <v>31.821004799999997</v>
      </c>
    </row>
    <row r="31" spans="1:7" ht="15.75" customHeight="1" x14ac:dyDescent="0.35">
      <c r="A31" s="7">
        <v>16.317599999999999</v>
      </c>
      <c r="B31" s="36">
        <f t="shared" ref="B31:C31" si="56">A31-(A31*0.04)</f>
        <v>15.664895999999999</v>
      </c>
      <c r="C31" s="36">
        <f t="shared" si="56"/>
        <v>15.038300159999999</v>
      </c>
      <c r="D31" s="28"/>
      <c r="E31" s="7">
        <v>39.717599999999997</v>
      </c>
      <c r="F31" s="36">
        <f t="shared" ref="F31:G31" si="57">E31-(E31*0.04)</f>
        <v>38.128895999999997</v>
      </c>
      <c r="G31" s="36">
        <f t="shared" si="57"/>
        <v>36.603740160000001</v>
      </c>
    </row>
    <row r="32" spans="1:7" ht="15.75" customHeight="1" x14ac:dyDescent="0.35">
      <c r="A32" s="7">
        <v>32.145983999999999</v>
      </c>
      <c r="B32" s="36">
        <f t="shared" ref="B32:C32" si="58">A32-(A32*0.04)</f>
        <v>30.860144639999998</v>
      </c>
      <c r="C32" s="36">
        <f t="shared" si="58"/>
        <v>29.625738854399998</v>
      </c>
      <c r="D32" s="28"/>
      <c r="E32" s="7">
        <v>51.854399999999998</v>
      </c>
      <c r="F32" s="36">
        <f t="shared" ref="F32:G32" si="59">E32-(E32*0.04)</f>
        <v>49.780223999999997</v>
      </c>
      <c r="G32" s="36">
        <f t="shared" si="59"/>
        <v>47.789015039999995</v>
      </c>
    </row>
    <row r="33" spans="1:7" ht="15.75" customHeight="1" x14ac:dyDescent="0.35">
      <c r="A33" s="7">
        <v>40.673767679999997</v>
      </c>
      <c r="B33" s="36">
        <f t="shared" ref="B33:C33" si="60">A33-(A33*0.04)</f>
        <v>39.046816972799995</v>
      </c>
      <c r="C33" s="36">
        <f t="shared" si="60"/>
        <v>37.484944293887992</v>
      </c>
      <c r="D33" s="28"/>
      <c r="E33" s="7">
        <v>51.854399999999998</v>
      </c>
      <c r="F33" s="36">
        <f t="shared" ref="F33:G33" si="61">E33-(E33*0.04)</f>
        <v>49.780223999999997</v>
      </c>
      <c r="G33" s="36">
        <f t="shared" si="61"/>
        <v>47.789015039999995</v>
      </c>
    </row>
    <row r="34" spans="1:7" ht="15.75" customHeight="1" x14ac:dyDescent="0.35">
      <c r="A34" s="7">
        <v>60.009880320000001</v>
      </c>
      <c r="B34" s="36">
        <f t="shared" ref="B34:C34" si="62">A34-(A34*0.04)</f>
        <v>57.609485107200001</v>
      </c>
      <c r="C34" s="36">
        <f t="shared" si="62"/>
        <v>55.305105702912002</v>
      </c>
      <c r="D34" s="28"/>
      <c r="E34" s="7">
        <v>102.21209856</v>
      </c>
      <c r="F34" s="36">
        <f t="shared" ref="F34:G34" si="63">E34-(E34*0.04)</f>
        <v>98.123614617599998</v>
      </c>
      <c r="G34" s="36">
        <f t="shared" si="63"/>
        <v>94.198670032896004</v>
      </c>
    </row>
    <row r="35" spans="1:7" ht="15.75" customHeight="1" x14ac:dyDescent="0.35">
      <c r="A35" s="7">
        <v>82.136021760000006</v>
      </c>
      <c r="B35" s="36">
        <f t="shared" ref="B35:C35" si="64">A35-(A35*0.04)</f>
        <v>78.85058088960001</v>
      </c>
      <c r="C35" s="36">
        <f t="shared" si="64"/>
        <v>75.696557654016004</v>
      </c>
      <c r="D35" s="28"/>
      <c r="E35" s="7">
        <v>129.36029184</v>
      </c>
      <c r="F35" s="36">
        <f t="shared" ref="F35:G35" si="65">E35-(E35*0.04)</f>
        <v>124.1858801664</v>
      </c>
      <c r="G35" s="36">
        <f t="shared" si="65"/>
        <v>119.21844495974399</v>
      </c>
    </row>
    <row r="36" spans="1:7" ht="15.75" customHeight="1" x14ac:dyDescent="0.35">
      <c r="A36" s="7">
        <v>107.04006144</v>
      </c>
      <c r="B36" s="36">
        <f t="shared" ref="B36:C36" si="66">A36-(A36*0.04)</f>
        <v>102.7584589824</v>
      </c>
      <c r="C36" s="36">
        <f t="shared" si="66"/>
        <v>98.648120623104006</v>
      </c>
      <c r="D36" s="28"/>
      <c r="E36" s="7">
        <v>190.85010048000001</v>
      </c>
      <c r="F36" s="36">
        <f t="shared" ref="F36:G36" si="67">E36-(E36*0.04)</f>
        <v>183.2160964608</v>
      </c>
      <c r="G36" s="36">
        <f t="shared" si="67"/>
        <v>175.887452602368</v>
      </c>
    </row>
    <row r="37" spans="1:7" ht="15.75" customHeight="1" x14ac:dyDescent="0.35">
      <c r="A37" s="7">
        <v>134.97674112000001</v>
      </c>
      <c r="B37" s="36">
        <f t="shared" ref="B37:C37" si="68">A37-(A37*0.04)</f>
        <v>129.57767147520002</v>
      </c>
      <c r="C37" s="36">
        <f t="shared" si="68"/>
        <v>124.39456461619201</v>
      </c>
      <c r="D37" s="28"/>
      <c r="E37" s="7">
        <v>261.19521792</v>
      </c>
      <c r="F37" s="36">
        <f t="shared" ref="F37:G37" si="69">E37-(E37*0.04)</f>
        <v>250.74740920319999</v>
      </c>
      <c r="G37" s="36">
        <f t="shared" si="69"/>
        <v>240.717512835072</v>
      </c>
    </row>
    <row r="38" spans="1:7" ht="15.75" customHeight="1" x14ac:dyDescent="0.35">
      <c r="A38" s="7">
        <v>167.14698623999999</v>
      </c>
      <c r="B38" s="36">
        <f t="shared" ref="B38:C38" si="70">A38-(A38*0.04)</f>
        <v>160.46110679039998</v>
      </c>
      <c r="C38" s="36">
        <f t="shared" si="70"/>
        <v>154.04266251878397</v>
      </c>
      <c r="D38" s="28"/>
      <c r="E38" s="7">
        <v>340.38351360000001</v>
      </c>
      <c r="F38" s="36">
        <f t="shared" ref="F38:G38" si="71">E38-(E38*0.04)</f>
        <v>326.76817305600002</v>
      </c>
      <c r="G38" s="36">
        <f t="shared" si="71"/>
        <v>313.69744613376002</v>
      </c>
    </row>
    <row r="39" spans="1:7" ht="15.75" customHeight="1" x14ac:dyDescent="0.35">
      <c r="A39" s="7">
        <v>244.28521728000001</v>
      </c>
      <c r="B39" s="36">
        <f t="shared" ref="B39:C39" si="72">A39-(A39*0.04)</f>
        <v>234.5138085888</v>
      </c>
      <c r="C39" s="36">
        <f t="shared" si="72"/>
        <v>225.13325624524799</v>
      </c>
      <c r="D39" s="28"/>
      <c r="E39" s="7">
        <v>429.23986559999997</v>
      </c>
      <c r="F39" s="36">
        <f t="shared" ref="F39:G39" si="73">E39-(E39*0.04)</f>
        <v>412.07027097599996</v>
      </c>
      <c r="G39" s="36">
        <f t="shared" si="73"/>
        <v>395.58746013695998</v>
      </c>
    </row>
    <row r="40" spans="1:7" ht="15.75" customHeight="1" x14ac:dyDescent="0.35">
      <c r="C40" s="28"/>
      <c r="D40" s="28"/>
      <c r="E40" s="7">
        <v>531.53687807999995</v>
      </c>
      <c r="F40" s="36">
        <f t="shared" ref="F40:G40" si="74">E40-(E40*0.04)</f>
        <v>510.27540295679995</v>
      </c>
      <c r="G40" s="36">
        <f t="shared" si="74"/>
        <v>489.86438683852793</v>
      </c>
    </row>
    <row r="41" spans="1:7" ht="15.75" customHeight="1" x14ac:dyDescent="0.35">
      <c r="C41" s="28"/>
      <c r="D41" s="28"/>
      <c r="E41" s="7">
        <v>776.82893184</v>
      </c>
      <c r="F41" s="36">
        <f t="shared" ref="F41:G41" si="75">E41-(E41*0.04)</f>
        <v>745.75577456639996</v>
      </c>
      <c r="G41" s="36">
        <f t="shared" si="75"/>
        <v>715.925543583744</v>
      </c>
    </row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>
      <c r="A46" s="27">
        <v>0.93</v>
      </c>
      <c r="B46" s="36">
        <f t="shared" ref="B46:B83" si="76">A46-(A46*0.04)</f>
        <v>0.89280000000000004</v>
      </c>
      <c r="D46" s="7">
        <v>1.24</v>
      </c>
      <c r="E46" s="36">
        <f t="shared" ref="E46:E83" si="77">D46-(D46*0.04)</f>
        <v>1.1903999999999999</v>
      </c>
    </row>
    <row r="47" spans="1:7" ht="15.75" customHeight="1" x14ac:dyDescent="0.35">
      <c r="A47" s="27">
        <v>1.04</v>
      </c>
      <c r="B47" s="36">
        <f t="shared" si="76"/>
        <v>0.99840000000000007</v>
      </c>
      <c r="D47" s="7">
        <v>1.35</v>
      </c>
      <c r="E47" s="36">
        <f t="shared" si="77"/>
        <v>1.296</v>
      </c>
    </row>
    <row r="48" spans="1:7" ht="15.75" customHeight="1" x14ac:dyDescent="0.35">
      <c r="A48" s="27">
        <v>1.1200000000000001</v>
      </c>
      <c r="B48" s="36">
        <f t="shared" si="76"/>
        <v>1.0752000000000002</v>
      </c>
      <c r="D48" s="7">
        <v>1.44</v>
      </c>
      <c r="E48" s="36">
        <f t="shared" si="77"/>
        <v>1.3823999999999999</v>
      </c>
    </row>
    <row r="49" spans="1:5" ht="15.75" customHeight="1" x14ac:dyDescent="0.35">
      <c r="A49" s="27">
        <v>1.21</v>
      </c>
      <c r="B49" s="36">
        <f t="shared" si="76"/>
        <v>1.1616</v>
      </c>
      <c r="D49" s="7">
        <v>1.52</v>
      </c>
      <c r="E49" s="36">
        <f t="shared" si="77"/>
        <v>1.4592000000000001</v>
      </c>
    </row>
    <row r="50" spans="1:5" ht="15.75" customHeight="1" x14ac:dyDescent="0.35">
      <c r="A50" s="27">
        <v>1.3</v>
      </c>
      <c r="B50" s="36">
        <f t="shared" si="76"/>
        <v>1.248</v>
      </c>
      <c r="D50" s="7">
        <v>1.61</v>
      </c>
      <c r="E50" s="36">
        <f t="shared" si="77"/>
        <v>1.5456000000000001</v>
      </c>
    </row>
    <row r="51" spans="1:5" ht="15.75" customHeight="1" x14ac:dyDescent="0.35">
      <c r="A51" s="27">
        <v>1.74</v>
      </c>
      <c r="B51" s="36">
        <f t="shared" si="76"/>
        <v>1.6703999999999999</v>
      </c>
      <c r="D51" s="7">
        <v>2.0499999999999998</v>
      </c>
      <c r="E51" s="36">
        <f t="shared" si="77"/>
        <v>1.9679999999999997</v>
      </c>
    </row>
    <row r="52" spans="1:5" ht="15.75" customHeight="1" x14ac:dyDescent="0.35">
      <c r="A52" s="27">
        <v>1.1599999999999999</v>
      </c>
      <c r="B52" s="36">
        <f t="shared" si="76"/>
        <v>1.1135999999999999</v>
      </c>
      <c r="D52" s="7">
        <v>1.57</v>
      </c>
      <c r="E52" s="36">
        <f t="shared" si="77"/>
        <v>1.5072000000000001</v>
      </c>
    </row>
    <row r="53" spans="1:5" ht="15.75" customHeight="1" x14ac:dyDescent="0.35">
      <c r="A53" s="27">
        <v>1.31</v>
      </c>
      <c r="B53" s="36">
        <f t="shared" si="76"/>
        <v>1.2576000000000001</v>
      </c>
      <c r="D53" s="7">
        <v>1.74</v>
      </c>
      <c r="E53" s="36">
        <f t="shared" si="77"/>
        <v>1.6703999999999999</v>
      </c>
    </row>
    <row r="54" spans="1:5" ht="15.75" customHeight="1" x14ac:dyDescent="0.35">
      <c r="A54" s="27">
        <v>1.4</v>
      </c>
      <c r="B54" s="36">
        <f t="shared" si="76"/>
        <v>1.3439999999999999</v>
      </c>
      <c r="D54" s="7">
        <v>1.84</v>
      </c>
      <c r="E54" s="36">
        <f t="shared" si="77"/>
        <v>1.7664</v>
      </c>
    </row>
    <row r="55" spans="1:5" ht="15.75" customHeight="1" x14ac:dyDescent="0.35">
      <c r="A55" s="27">
        <v>1.51</v>
      </c>
      <c r="B55" s="36">
        <f t="shared" si="76"/>
        <v>1.4496</v>
      </c>
      <c r="D55" s="7">
        <v>1.94</v>
      </c>
      <c r="E55" s="36">
        <f t="shared" si="77"/>
        <v>1.8624000000000001</v>
      </c>
    </row>
    <row r="56" spans="1:5" ht="15.75" customHeight="1" x14ac:dyDescent="0.35">
      <c r="A56" s="27">
        <v>1.62</v>
      </c>
      <c r="B56" s="36">
        <f t="shared" si="76"/>
        <v>1.5552000000000001</v>
      </c>
      <c r="D56" s="7">
        <v>2.0499999999999998</v>
      </c>
      <c r="E56" s="36">
        <f t="shared" si="77"/>
        <v>1.9679999999999997</v>
      </c>
    </row>
    <row r="57" spans="1:5" ht="15.75" customHeight="1" x14ac:dyDescent="0.35">
      <c r="A57" s="27">
        <v>2.15</v>
      </c>
      <c r="B57" s="36">
        <f t="shared" si="76"/>
        <v>2.0640000000000001</v>
      </c>
      <c r="D57" s="7">
        <v>2.57</v>
      </c>
      <c r="E57" s="36">
        <f t="shared" si="77"/>
        <v>2.4672000000000001</v>
      </c>
    </row>
    <row r="58" spans="1:5" ht="15.75" customHeight="1" x14ac:dyDescent="0.35">
      <c r="A58" s="27">
        <v>2.39</v>
      </c>
      <c r="B58" s="36">
        <f t="shared" si="76"/>
        <v>2.2944</v>
      </c>
      <c r="D58" s="7">
        <v>2.81</v>
      </c>
      <c r="E58" s="36">
        <f t="shared" si="77"/>
        <v>2.6976</v>
      </c>
    </row>
    <row r="59" spans="1:5" ht="15.75" customHeight="1" x14ac:dyDescent="0.35">
      <c r="A59" s="27">
        <v>2.68</v>
      </c>
      <c r="B59" s="36">
        <f t="shared" si="76"/>
        <v>2.5728</v>
      </c>
      <c r="D59" s="7">
        <v>3.1</v>
      </c>
      <c r="E59" s="36">
        <f t="shared" si="77"/>
        <v>2.976</v>
      </c>
    </row>
    <row r="60" spans="1:5" ht="15.75" customHeight="1" x14ac:dyDescent="0.35">
      <c r="A60" s="27">
        <v>2.94</v>
      </c>
      <c r="B60" s="36">
        <f t="shared" si="76"/>
        <v>2.8224</v>
      </c>
      <c r="D60" s="7">
        <v>3.36</v>
      </c>
      <c r="E60" s="36">
        <f t="shared" si="77"/>
        <v>3.2256</v>
      </c>
    </row>
    <row r="61" spans="1:5" ht="15.75" customHeight="1" x14ac:dyDescent="0.35">
      <c r="A61" s="27">
        <v>3.22</v>
      </c>
      <c r="B61" s="36">
        <f t="shared" si="76"/>
        <v>3.0912000000000002</v>
      </c>
      <c r="D61" s="7">
        <v>3.64</v>
      </c>
      <c r="E61" s="36">
        <f t="shared" si="77"/>
        <v>3.4944000000000002</v>
      </c>
    </row>
    <row r="62" spans="1:5" ht="15.75" customHeight="1" x14ac:dyDescent="0.35">
      <c r="A62" s="27">
        <v>2.4500000000000002</v>
      </c>
      <c r="B62" s="36">
        <f t="shared" si="76"/>
        <v>2.3520000000000003</v>
      </c>
      <c r="D62" s="7">
        <v>3.08</v>
      </c>
      <c r="E62" s="36">
        <f t="shared" si="77"/>
        <v>2.9567999999999999</v>
      </c>
    </row>
    <row r="63" spans="1:5" ht="15.75" customHeight="1" x14ac:dyDescent="0.35">
      <c r="A63" s="27">
        <v>2.72</v>
      </c>
      <c r="B63" s="36">
        <f t="shared" si="76"/>
        <v>2.6112000000000002</v>
      </c>
      <c r="D63" s="7">
        <v>3.35</v>
      </c>
      <c r="E63" s="36">
        <f t="shared" si="77"/>
        <v>3.2160000000000002</v>
      </c>
    </row>
    <row r="64" spans="1:5" ht="15.75" customHeight="1" x14ac:dyDescent="0.35">
      <c r="A64" s="27">
        <v>3.05</v>
      </c>
      <c r="B64" s="36">
        <f t="shared" si="76"/>
        <v>2.9279999999999999</v>
      </c>
      <c r="D64" s="7">
        <v>3.67</v>
      </c>
      <c r="E64" s="36">
        <f t="shared" si="77"/>
        <v>3.5232000000000001</v>
      </c>
    </row>
    <row r="65" spans="1:5" ht="15.75" customHeight="1" x14ac:dyDescent="0.35">
      <c r="A65" s="27">
        <v>3.33</v>
      </c>
      <c r="B65" s="36">
        <f t="shared" si="76"/>
        <v>3.1968000000000001</v>
      </c>
      <c r="D65" s="7">
        <v>3.95</v>
      </c>
      <c r="E65" s="36">
        <f t="shared" si="77"/>
        <v>3.7920000000000003</v>
      </c>
    </row>
    <row r="66" spans="1:5" ht="15.75" customHeight="1" x14ac:dyDescent="0.35">
      <c r="A66" s="27">
        <v>3.69</v>
      </c>
      <c r="B66" s="36">
        <f t="shared" si="76"/>
        <v>3.5423999999999998</v>
      </c>
      <c r="D66" s="7">
        <v>4.34</v>
      </c>
      <c r="E66" s="36">
        <f t="shared" si="77"/>
        <v>4.1663999999999994</v>
      </c>
    </row>
    <row r="67" spans="1:5" ht="15.75" customHeight="1" x14ac:dyDescent="0.35">
      <c r="A67" s="27">
        <v>4.53</v>
      </c>
      <c r="B67" s="36">
        <f t="shared" si="76"/>
        <v>4.3488000000000007</v>
      </c>
      <c r="D67" s="7">
        <v>5.16</v>
      </c>
      <c r="E67" s="36">
        <f t="shared" si="77"/>
        <v>4.9535999999999998</v>
      </c>
    </row>
    <row r="68" spans="1:5" ht="15.75" customHeight="1" x14ac:dyDescent="0.35">
      <c r="A68" s="27">
        <v>6.56</v>
      </c>
      <c r="B68" s="36">
        <f t="shared" si="76"/>
        <v>6.2975999999999992</v>
      </c>
      <c r="D68" s="7">
        <v>7.18</v>
      </c>
      <c r="E68" s="36">
        <f t="shared" si="77"/>
        <v>6.8927999999999994</v>
      </c>
    </row>
    <row r="69" spans="1:5" ht="15.75" customHeight="1" x14ac:dyDescent="0.35">
      <c r="A69" s="27">
        <v>7.92</v>
      </c>
      <c r="B69" s="36">
        <f t="shared" si="76"/>
        <v>7.6032000000000002</v>
      </c>
      <c r="D69" s="7">
        <v>8.5500000000000007</v>
      </c>
      <c r="E69" s="36">
        <f t="shared" si="77"/>
        <v>8.2080000000000002</v>
      </c>
    </row>
    <row r="70" spans="1:5" ht="15.75" customHeight="1" x14ac:dyDescent="0.35">
      <c r="A70" s="27">
        <v>9.6</v>
      </c>
      <c r="B70" s="36">
        <f t="shared" si="76"/>
        <v>9.2159999999999993</v>
      </c>
      <c r="D70" s="7">
        <v>10.25</v>
      </c>
      <c r="E70" s="36">
        <f t="shared" si="77"/>
        <v>9.84</v>
      </c>
    </row>
    <row r="71" spans="1:5" ht="15.75" customHeight="1" x14ac:dyDescent="0.35">
      <c r="A71" s="27">
        <v>4.87</v>
      </c>
      <c r="B71" s="36">
        <f t="shared" si="76"/>
        <v>4.6752000000000002</v>
      </c>
      <c r="D71" s="7">
        <v>6.77</v>
      </c>
      <c r="E71" s="36">
        <f t="shared" si="77"/>
        <v>6.4991999999999992</v>
      </c>
    </row>
    <row r="72" spans="1:5" ht="15.75" customHeight="1" x14ac:dyDescent="0.35">
      <c r="A72" s="27">
        <v>5.49</v>
      </c>
      <c r="B72" s="36">
        <f t="shared" si="76"/>
        <v>5.2704000000000004</v>
      </c>
      <c r="D72" s="7">
        <v>7.39</v>
      </c>
      <c r="E72" s="36">
        <f t="shared" si="77"/>
        <v>7.0943999999999994</v>
      </c>
    </row>
    <row r="73" spans="1:5" ht="15.75" customHeight="1" x14ac:dyDescent="0.35">
      <c r="A73" s="27">
        <v>6</v>
      </c>
      <c r="B73" s="36">
        <f t="shared" si="76"/>
        <v>5.76</v>
      </c>
      <c r="D73" s="7">
        <v>7.91</v>
      </c>
      <c r="E73" s="36">
        <f t="shared" si="77"/>
        <v>7.5936000000000003</v>
      </c>
    </row>
    <row r="74" spans="1:5" ht="15.75" customHeight="1" x14ac:dyDescent="0.35">
      <c r="A74" s="27">
        <v>6.65</v>
      </c>
      <c r="B74" s="36">
        <f t="shared" si="76"/>
        <v>6.3840000000000003</v>
      </c>
      <c r="D74" s="7">
        <v>8.5500000000000007</v>
      </c>
      <c r="E74" s="36">
        <f t="shared" si="77"/>
        <v>8.2080000000000002</v>
      </c>
    </row>
    <row r="75" spans="1:5" ht="15.75" customHeight="1" x14ac:dyDescent="0.35">
      <c r="A75" s="27">
        <v>8.16</v>
      </c>
      <c r="B75" s="36">
        <f t="shared" si="76"/>
        <v>7.8336000000000006</v>
      </c>
      <c r="D75" s="7">
        <v>10.050000000000001</v>
      </c>
      <c r="E75" s="36">
        <f t="shared" si="77"/>
        <v>9.6480000000000015</v>
      </c>
    </row>
    <row r="76" spans="1:5" ht="15.75" customHeight="1" x14ac:dyDescent="0.35">
      <c r="A76" s="27">
        <v>9.67</v>
      </c>
      <c r="B76" s="36">
        <f t="shared" si="76"/>
        <v>9.2832000000000008</v>
      </c>
      <c r="D76" s="7">
        <v>11.57</v>
      </c>
      <c r="E76" s="36">
        <f t="shared" si="77"/>
        <v>11.107200000000001</v>
      </c>
    </row>
    <row r="77" spans="1:5" ht="15.75" customHeight="1" x14ac:dyDescent="0.35">
      <c r="A77" s="27">
        <v>11.64</v>
      </c>
      <c r="B77" s="36">
        <f t="shared" si="76"/>
        <v>11.1744</v>
      </c>
      <c r="D77" s="7">
        <v>13.54</v>
      </c>
      <c r="E77" s="36">
        <f t="shared" si="77"/>
        <v>12.998399999999998</v>
      </c>
    </row>
    <row r="78" spans="1:5" ht="15.75" customHeight="1" x14ac:dyDescent="0.35">
      <c r="A78" s="27">
        <v>14.14</v>
      </c>
      <c r="B78" s="36">
        <f t="shared" si="76"/>
        <v>13.574400000000001</v>
      </c>
      <c r="D78" s="7">
        <v>16.04</v>
      </c>
      <c r="E78" s="36">
        <f t="shared" si="77"/>
        <v>15.398399999999999</v>
      </c>
    </row>
    <row r="79" spans="1:5" ht="15.75" customHeight="1" x14ac:dyDescent="0.35">
      <c r="A79" s="27">
        <v>15.54</v>
      </c>
      <c r="B79" s="36">
        <f t="shared" si="76"/>
        <v>14.918399999999998</v>
      </c>
      <c r="D79" s="7">
        <v>17.440000000000001</v>
      </c>
      <c r="E79" s="36">
        <f t="shared" si="77"/>
        <v>16.7424</v>
      </c>
    </row>
    <row r="80" spans="1:5" ht="15.75" customHeight="1" x14ac:dyDescent="0.35">
      <c r="A80" s="27">
        <v>19.418399999999998</v>
      </c>
      <c r="B80" s="36">
        <f t="shared" si="76"/>
        <v>18.641663999999999</v>
      </c>
      <c r="D80" s="7">
        <v>22.831199999999999</v>
      </c>
      <c r="E80" s="36">
        <f t="shared" si="77"/>
        <v>21.917952</v>
      </c>
    </row>
    <row r="81" spans="1:5" ht="15.75" customHeight="1" x14ac:dyDescent="0.35">
      <c r="A81" s="27">
        <v>22.453199999999999</v>
      </c>
      <c r="B81" s="36">
        <f t="shared" si="76"/>
        <v>21.555071999999999</v>
      </c>
      <c r="D81" s="7">
        <v>25.8552</v>
      </c>
      <c r="E81" s="36">
        <f t="shared" si="77"/>
        <v>24.820992</v>
      </c>
    </row>
    <row r="82" spans="1:5" ht="15.75" customHeight="1" x14ac:dyDescent="0.35">
      <c r="A82" s="27">
        <v>28.576799999999999</v>
      </c>
      <c r="B82" s="36">
        <f t="shared" si="76"/>
        <v>27.433727999999999</v>
      </c>
      <c r="D82" s="7">
        <v>31.9788</v>
      </c>
      <c r="E82" s="36">
        <f t="shared" si="77"/>
        <v>30.699648</v>
      </c>
    </row>
    <row r="83" spans="1:5" ht="15.75" customHeight="1" x14ac:dyDescent="0.35">
      <c r="A83" s="27">
        <v>31.114799999999999</v>
      </c>
      <c r="B83" s="36">
        <f t="shared" si="76"/>
        <v>29.870207999999998</v>
      </c>
      <c r="D83" s="7">
        <v>34.5276</v>
      </c>
      <c r="E83" s="36">
        <f t="shared" si="77"/>
        <v>33.146495999999999</v>
      </c>
    </row>
    <row r="84" spans="1:5" ht="15.75" customHeight="1" x14ac:dyDescent="0.35"/>
    <row r="85" spans="1:5" ht="15.75" customHeight="1" x14ac:dyDescent="0.35"/>
    <row r="86" spans="1:5" ht="15.75" customHeight="1" x14ac:dyDescent="0.35"/>
    <row r="87" spans="1:5" ht="15.75" customHeight="1" x14ac:dyDescent="0.35"/>
    <row r="88" spans="1:5" ht="15.75" customHeight="1" x14ac:dyDescent="0.35"/>
    <row r="89" spans="1:5" ht="15.75" customHeight="1" x14ac:dyDescent="0.35"/>
    <row r="90" spans="1:5" ht="15.75" customHeight="1" x14ac:dyDescent="0.35"/>
    <row r="91" spans="1:5" ht="15.75" customHeight="1" x14ac:dyDescent="0.35"/>
    <row r="92" spans="1:5" ht="15.75" customHeight="1" x14ac:dyDescent="0.35"/>
    <row r="93" spans="1:5" ht="15.75" customHeight="1" x14ac:dyDescent="0.35"/>
    <row r="94" spans="1:5" ht="15.75" customHeight="1" x14ac:dyDescent="0.35"/>
    <row r="95" spans="1:5" ht="15.75" customHeight="1" x14ac:dyDescent="0.35"/>
    <row r="96" spans="1:5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Miceli</dc:creator>
  <cp:lastModifiedBy>CALEBE GABINO LOUZADA TEIXEIRA</cp:lastModifiedBy>
  <cp:lastPrinted>2026-04-06T14:34:40Z</cp:lastPrinted>
  <dcterms:created xsi:type="dcterms:W3CDTF">2026-01-19T19:01:48Z</dcterms:created>
  <dcterms:modified xsi:type="dcterms:W3CDTF">2026-04-06T19:07:43Z</dcterms:modified>
</cp:coreProperties>
</file>