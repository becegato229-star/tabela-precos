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6b03f47aae0b7e7/Documentos/"/>
    </mc:Choice>
  </mc:AlternateContent>
  <xr:revisionPtr revIDLastSave="27" documentId="14_{8A3F0DAE-E99C-4CF9-9387-CC64E29E19F1}" xr6:coauthVersionLast="47" xr6:coauthVersionMax="47" xr10:uidLastSave="{F891869F-066A-4C08-AA18-178811F7DD02}"/>
  <bookViews>
    <workbookView xWindow="-108" yWindow="-108" windowWidth="23256" windowHeight="12456" xr2:uid="{00000000-000D-0000-FFFF-FFFF00000000}"/>
  </bookViews>
  <sheets>
    <sheet name="Plan1" sheetId="1" r:id="rId1"/>
    <sheet name="Págin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3" i="2" l="1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F41" i="2"/>
  <c r="G41" i="2" s="1"/>
  <c r="F40" i="2"/>
  <c r="G40" i="2" s="1"/>
  <c r="F39" i="2"/>
  <c r="G39" i="2" s="1"/>
  <c r="B39" i="2"/>
  <c r="C39" i="2" s="1"/>
  <c r="F38" i="2"/>
  <c r="G38" i="2" s="1"/>
  <c r="B38" i="2"/>
  <c r="C38" i="2" s="1"/>
  <c r="G37" i="2"/>
  <c r="F37" i="2"/>
  <c r="B37" i="2"/>
  <c r="C37" i="2" s="1"/>
  <c r="F36" i="2"/>
  <c r="G36" i="2" s="1"/>
  <c r="B36" i="2"/>
  <c r="C36" i="2" s="1"/>
  <c r="G35" i="2"/>
  <c r="F35" i="2"/>
  <c r="B35" i="2"/>
  <c r="C35" i="2" s="1"/>
  <c r="F34" i="2"/>
  <c r="G34" i="2" s="1"/>
  <c r="B34" i="2"/>
  <c r="C34" i="2" s="1"/>
  <c r="G33" i="2"/>
  <c r="F33" i="2"/>
  <c r="B33" i="2"/>
  <c r="C33" i="2" s="1"/>
  <c r="F32" i="2"/>
  <c r="G32" i="2" s="1"/>
  <c r="B32" i="2"/>
  <c r="C32" i="2" s="1"/>
  <c r="G31" i="2"/>
  <c r="F31" i="2"/>
  <c r="B31" i="2"/>
  <c r="C31" i="2" s="1"/>
  <c r="F30" i="2"/>
  <c r="G30" i="2" s="1"/>
  <c r="B30" i="2"/>
  <c r="C30" i="2" s="1"/>
  <c r="G29" i="2"/>
  <c r="F29" i="2"/>
  <c r="B29" i="2"/>
  <c r="C29" i="2" s="1"/>
  <c r="F28" i="2"/>
  <c r="G28" i="2" s="1"/>
  <c r="B28" i="2"/>
  <c r="C28" i="2" s="1"/>
  <c r="G26" i="2"/>
  <c r="F26" i="2"/>
  <c r="B26" i="2"/>
  <c r="C26" i="2" s="1"/>
  <c r="F25" i="2"/>
  <c r="G25" i="2" s="1"/>
  <c r="B25" i="2"/>
  <c r="C25" i="2" s="1"/>
  <c r="G24" i="2"/>
  <c r="F24" i="2"/>
  <c r="B24" i="2"/>
  <c r="C24" i="2" s="1"/>
  <c r="F23" i="2"/>
  <c r="G23" i="2" s="1"/>
  <c r="B23" i="2"/>
  <c r="C23" i="2" s="1"/>
  <c r="G22" i="2"/>
  <c r="F22" i="2"/>
  <c r="B22" i="2"/>
  <c r="C22" i="2" s="1"/>
  <c r="F21" i="2"/>
  <c r="G21" i="2" s="1"/>
  <c r="B21" i="2"/>
  <c r="C21" i="2" s="1"/>
  <c r="G20" i="2"/>
  <c r="F20" i="2"/>
  <c r="B20" i="2"/>
  <c r="C20" i="2" s="1"/>
  <c r="F19" i="2"/>
  <c r="G19" i="2" s="1"/>
  <c r="B19" i="2"/>
  <c r="C19" i="2" s="1"/>
  <c r="G18" i="2"/>
  <c r="F18" i="2"/>
  <c r="B18" i="2"/>
  <c r="C18" i="2" s="1"/>
  <c r="F17" i="2"/>
  <c r="G17" i="2" s="1"/>
  <c r="B17" i="2"/>
  <c r="C17" i="2" s="1"/>
  <c r="G15" i="2"/>
  <c r="F15" i="2"/>
  <c r="B15" i="2"/>
  <c r="C15" i="2" s="1"/>
  <c r="F14" i="2"/>
  <c r="G14" i="2" s="1"/>
  <c r="B14" i="2"/>
  <c r="C14" i="2" s="1"/>
  <c r="G13" i="2"/>
  <c r="F13" i="2"/>
  <c r="B13" i="2"/>
  <c r="C13" i="2" s="1"/>
  <c r="F12" i="2"/>
  <c r="G12" i="2" s="1"/>
  <c r="B12" i="2"/>
  <c r="C12" i="2" s="1"/>
  <c r="G11" i="2"/>
  <c r="F11" i="2"/>
  <c r="B11" i="2"/>
  <c r="C11" i="2" s="1"/>
  <c r="F10" i="2"/>
  <c r="G10" i="2" s="1"/>
  <c r="B10" i="2"/>
  <c r="C10" i="2" s="1"/>
  <c r="G9" i="2"/>
  <c r="F9" i="2"/>
  <c r="B9" i="2"/>
  <c r="C9" i="2" s="1"/>
  <c r="F8" i="2"/>
  <c r="G8" i="2" s="1"/>
  <c r="B8" i="2"/>
  <c r="C8" i="2" s="1"/>
  <c r="G7" i="2"/>
  <c r="F7" i="2"/>
  <c r="B7" i="2"/>
  <c r="C7" i="2" s="1"/>
  <c r="F6" i="2"/>
  <c r="G6" i="2" s="1"/>
  <c r="B6" i="2"/>
  <c r="C6" i="2" s="1"/>
  <c r="G5" i="2"/>
  <c r="F5" i="2"/>
  <c r="B5" i="2"/>
  <c r="C5" i="2" s="1"/>
  <c r="F4" i="2"/>
  <c r="G4" i="2" s="1"/>
  <c r="B4" i="2"/>
  <c r="C4" i="2" s="1"/>
  <c r="G3" i="2"/>
  <c r="F3" i="2"/>
  <c r="B3" i="2"/>
  <c r="C3" i="2" s="1"/>
  <c r="F2" i="2"/>
  <c r="G2" i="2" s="1"/>
  <c r="B2" i="2"/>
  <c r="C2" i="2" s="1"/>
  <c r="G1" i="2"/>
  <c r="F1" i="2"/>
  <c r="B1" i="2"/>
  <c r="C1" i="2" s="1"/>
  <c r="J74" i="1"/>
  <c r="C74" i="1"/>
  <c r="J73" i="1"/>
  <c r="C73" i="1"/>
  <c r="J72" i="1"/>
  <c r="C72" i="1"/>
  <c r="J71" i="1"/>
  <c r="C71" i="1"/>
  <c r="J70" i="1"/>
  <c r="C70" i="1"/>
  <c r="J69" i="1"/>
  <c r="C69" i="1"/>
  <c r="J68" i="1"/>
  <c r="C68" i="1"/>
  <c r="J67" i="1"/>
  <c r="C67" i="1"/>
  <c r="J66" i="1"/>
  <c r="C66" i="1"/>
  <c r="J65" i="1"/>
  <c r="C65" i="1"/>
  <c r="J46" i="1"/>
  <c r="C46" i="1"/>
  <c r="J45" i="1"/>
  <c r="C45" i="1"/>
  <c r="J44" i="1"/>
  <c r="C44" i="1"/>
  <c r="J43" i="1"/>
  <c r="C43" i="1"/>
  <c r="J42" i="1"/>
  <c r="C42" i="1"/>
  <c r="J41" i="1"/>
  <c r="C41" i="1"/>
  <c r="J40" i="1"/>
  <c r="C40" i="1"/>
  <c r="J39" i="1"/>
  <c r="C39" i="1"/>
  <c r="J38" i="1"/>
  <c r="C38" i="1"/>
  <c r="J37" i="1"/>
  <c r="C37" i="1"/>
  <c r="J36" i="1"/>
  <c r="C36" i="1"/>
  <c r="J35" i="1"/>
  <c r="C35" i="1"/>
  <c r="J34" i="1"/>
  <c r="C34" i="1"/>
  <c r="J33" i="1"/>
  <c r="C33" i="1"/>
</calcChain>
</file>

<file path=xl/sharedStrings.xml><?xml version="1.0" encoding="utf-8"?>
<sst xmlns="http://schemas.openxmlformats.org/spreadsheetml/2006/main" count="1402" uniqueCount="818">
  <si>
    <t>BARRA ROSCADA POLEGADA X 1000 POLIDA</t>
  </si>
  <si>
    <t>BARRA ROSCADA  POLEGADA X 1000 ZINCADO</t>
  </si>
  <si>
    <t>COD</t>
  </si>
  <si>
    <t>Medida</t>
  </si>
  <si>
    <t>Preço / BR</t>
  </si>
  <si>
    <t>Embalagem</t>
  </si>
  <si>
    <t>2706</t>
  </si>
  <si>
    <t>3/16"</t>
  </si>
  <si>
    <t>1657</t>
  </si>
  <si>
    <t>4645</t>
  </si>
  <si>
    <t>1/4"</t>
  </si>
  <si>
    <t>4650</t>
  </si>
  <si>
    <t>4644</t>
  </si>
  <si>
    <t>5/16"</t>
  </si>
  <si>
    <t>4648</t>
  </si>
  <si>
    <t>4642</t>
  </si>
  <si>
    <t>3/8"</t>
  </si>
  <si>
    <t>4646</t>
  </si>
  <si>
    <t>3082</t>
  </si>
  <si>
    <t>7/16"</t>
  </si>
  <si>
    <t>1987</t>
  </si>
  <si>
    <t>4643</t>
  </si>
  <si>
    <t>1/2'' NC</t>
  </si>
  <si>
    <t>4647</t>
  </si>
  <si>
    <t>5458</t>
  </si>
  <si>
    <t xml:space="preserve">  1/2" WW</t>
  </si>
  <si>
    <t>5485</t>
  </si>
  <si>
    <t>3143</t>
  </si>
  <si>
    <t>9/16"</t>
  </si>
  <si>
    <t>2018</t>
  </si>
  <si>
    <t>2968</t>
  </si>
  <si>
    <t>5/8"</t>
  </si>
  <si>
    <t>1852</t>
  </si>
  <si>
    <t>2712</t>
  </si>
  <si>
    <t>3/4"</t>
  </si>
  <si>
    <t>1670</t>
  </si>
  <si>
    <t>3097</t>
  </si>
  <si>
    <t>7/8"</t>
  </si>
  <si>
    <t>2001</t>
  </si>
  <si>
    <t>7/8'</t>
  </si>
  <si>
    <t>2385</t>
  </si>
  <si>
    <t>1"</t>
  </si>
  <si>
    <t>1421</t>
  </si>
  <si>
    <t>2360</t>
  </si>
  <si>
    <t>1 1/8"</t>
  </si>
  <si>
    <t>1411</t>
  </si>
  <si>
    <t>2321</t>
  </si>
  <si>
    <t>1 1/4"</t>
  </si>
  <si>
    <t>1400</t>
  </si>
  <si>
    <t>2297</t>
  </si>
  <si>
    <t>1 1/2"</t>
  </si>
  <si>
    <t>1391</t>
  </si>
  <si>
    <t>BARRA ROSCADA POLEGADA X 3000 POLIDA</t>
  </si>
  <si>
    <t>BARRA ROSCADA  POLEGADA X 3000 ZINCADO</t>
  </si>
  <si>
    <t>4641</t>
  </si>
  <si>
    <t>4636</t>
  </si>
  <si>
    <t>4637</t>
  </si>
  <si>
    <t>4634</t>
  </si>
  <si>
    <t>4640</t>
  </si>
  <si>
    <t>4635</t>
  </si>
  <si>
    <t>3086</t>
  </si>
  <si>
    <t>1992</t>
  </si>
  <si>
    <t>5488</t>
  </si>
  <si>
    <t>5486</t>
  </si>
  <si>
    <t>5489</t>
  </si>
  <si>
    <t>5487</t>
  </si>
  <si>
    <t>3145</t>
  </si>
  <si>
    <t>2021</t>
  </si>
  <si>
    <t>3028</t>
  </si>
  <si>
    <t>1921</t>
  </si>
  <si>
    <t>2744</t>
  </si>
  <si>
    <t>1697</t>
  </si>
  <si>
    <t>3124</t>
  </si>
  <si>
    <t>2014</t>
  </si>
  <si>
    <t>2426</t>
  </si>
  <si>
    <t>1431</t>
  </si>
  <si>
    <t>2375</t>
  </si>
  <si>
    <t>1418</t>
  </si>
  <si>
    <t>2340</t>
  </si>
  <si>
    <t>1405</t>
  </si>
  <si>
    <t>2308</t>
  </si>
  <si>
    <t>1397</t>
  </si>
  <si>
    <t>BARRA ROSCADA MÉTRICA X 1000 POLIDA</t>
  </si>
  <si>
    <t>BARRA ROSCADA MÉTRICA X 1000 ZINCADO</t>
  </si>
  <si>
    <t>3204</t>
  </si>
  <si>
    <t>M   6</t>
  </si>
  <si>
    <t>2058</t>
  </si>
  <si>
    <t>3207</t>
  </si>
  <si>
    <t>M   8</t>
  </si>
  <si>
    <t>2069</t>
  </si>
  <si>
    <t>3146</t>
  </si>
  <si>
    <t>M  10</t>
  </si>
  <si>
    <t>2024</t>
  </si>
  <si>
    <t>3156</t>
  </si>
  <si>
    <t>M  12</t>
  </si>
  <si>
    <t>2033</t>
  </si>
  <si>
    <t>3169</t>
  </si>
  <si>
    <t>M  14</t>
  </si>
  <si>
    <t>2039</t>
  </si>
  <si>
    <t>3171</t>
  </si>
  <si>
    <t>M  16</t>
  </si>
  <si>
    <t>2040</t>
  </si>
  <si>
    <t>3187</t>
  </si>
  <si>
    <t>M  20</t>
  </si>
  <si>
    <t>2048</t>
  </si>
  <si>
    <t>3197</t>
  </si>
  <si>
    <t>M  24</t>
  </si>
  <si>
    <t>2052</t>
  </si>
  <si>
    <t>4355</t>
  </si>
  <si>
    <t>M  30</t>
  </si>
  <si>
    <t>4928</t>
  </si>
  <si>
    <t>6771</t>
  </si>
  <si>
    <t>M  36</t>
  </si>
  <si>
    <t>6772</t>
  </si>
  <si>
    <t>BARRA ROSCADA MÉTRICA X 3000 POLIDA</t>
  </si>
  <si>
    <t>BARRA ROSCADA MÉTRICA X 3000 ZINCADO</t>
  </si>
  <si>
    <t>3206</t>
  </si>
  <si>
    <t>4633</t>
  </si>
  <si>
    <t>3209</t>
  </si>
  <si>
    <t>2084</t>
  </si>
  <si>
    <t>3149</t>
  </si>
  <si>
    <t>2031</t>
  </si>
  <si>
    <t>3162</t>
  </si>
  <si>
    <t>2034</t>
  </si>
  <si>
    <t>3170</t>
  </si>
  <si>
    <t>6002</t>
  </si>
  <si>
    <t>3177</t>
  </si>
  <si>
    <t>2045</t>
  </si>
  <si>
    <t>3190</t>
  </si>
  <si>
    <t xml:space="preserve">  IPI      :   6,50 %  (  à  incluir )</t>
  </si>
  <si>
    <t>2050</t>
  </si>
  <si>
    <t>4353</t>
  </si>
  <si>
    <t>2053</t>
  </si>
  <si>
    <t>6705</t>
  </si>
  <si>
    <t xml:space="preserve"> NCM  :   7318.15.00</t>
  </si>
  <si>
    <t>8572</t>
  </si>
  <si>
    <t>8570</t>
  </si>
  <si>
    <t>8571</t>
  </si>
  <si>
    <t>BARRA ROSCADA POLEGADA X 1000 G. FOGO</t>
  </si>
  <si>
    <t>BARRA ROSCADA  POLEGADA X 3000 G. FOGO</t>
  </si>
  <si>
    <t>8579</t>
  </si>
  <si>
    <t>6777</t>
  </si>
  <si>
    <t>8580</t>
  </si>
  <si>
    <t>7031</t>
  </si>
  <si>
    <t>8028</t>
  </si>
  <si>
    <t>R$ 5,59</t>
  </si>
  <si>
    <t>6718</t>
  </si>
  <si>
    <t>8589</t>
  </si>
  <si>
    <t>8584</t>
  </si>
  <si>
    <t>8043</t>
  </si>
  <si>
    <t>7032</t>
  </si>
  <si>
    <t>8581</t>
  </si>
  <si>
    <t>7395</t>
  </si>
  <si>
    <t>8582</t>
  </si>
  <si>
    <t>8585</t>
  </si>
  <si>
    <t>2128</t>
  </si>
  <si>
    <t>2139</t>
  </si>
  <si>
    <t>2114</t>
  </si>
  <si>
    <t>2116</t>
  </si>
  <si>
    <t>2148</t>
  </si>
  <si>
    <t>2149</t>
  </si>
  <si>
    <t>2100</t>
  </si>
  <si>
    <t>2102</t>
  </si>
  <si>
    <t>8583</t>
  </si>
  <si>
    <t>8586</t>
  </si>
  <si>
    <t>2097</t>
  </si>
  <si>
    <t>8588</t>
  </si>
  <si>
    <t>2095</t>
  </si>
  <si>
    <t>8587</t>
  </si>
  <si>
    <t>PORCA SEXTAVADA G. FOGO</t>
  </si>
  <si>
    <t>ARRUELA LISA G. FOGO</t>
  </si>
  <si>
    <t>Preço / CT</t>
  </si>
  <si>
    <t>557</t>
  </si>
  <si>
    <t>R$ 20,96</t>
  </si>
  <si>
    <t>224</t>
  </si>
  <si>
    <t>R$ 13,65</t>
  </si>
  <si>
    <t>560</t>
  </si>
  <si>
    <t>R$ 26,69</t>
  </si>
  <si>
    <t>4621</t>
  </si>
  <si>
    <t>R$ 19,63</t>
  </si>
  <si>
    <t>559</t>
  </si>
  <si>
    <t>R$ 33,80</t>
  </si>
  <si>
    <t>226</t>
  </si>
  <si>
    <t>R$ 20,15</t>
  </si>
  <si>
    <t>555</t>
  </si>
  <si>
    <t>1/2" NC</t>
  </si>
  <si>
    <t>R$ 71,50</t>
  </si>
  <si>
    <t>223</t>
  </si>
  <si>
    <t>1/2"</t>
  </si>
  <si>
    <t>R$ 58,50</t>
  </si>
  <si>
    <t>556</t>
  </si>
  <si>
    <t>227</t>
  </si>
  <si>
    <t>R$ 89,70</t>
  </si>
  <si>
    <t>562</t>
  </si>
  <si>
    <t>R$ 136,50</t>
  </si>
  <si>
    <t>225</t>
  </si>
  <si>
    <t>R$ 96,20</t>
  </si>
  <si>
    <t>558</t>
  </si>
  <si>
    <t>R$ 180,70</t>
  </si>
  <si>
    <t>228</t>
  </si>
  <si>
    <t>R$ 132,60</t>
  </si>
  <si>
    <t>563</t>
  </si>
  <si>
    <t>R$ 295,10</t>
  </si>
  <si>
    <t>222</t>
  </si>
  <si>
    <t>5025</t>
  </si>
  <si>
    <t>R$ 454,09</t>
  </si>
  <si>
    <t>PROLONGADOR SEXTAVADO ZINCADO</t>
  </si>
  <si>
    <t>PARAFUSO OLHAL ZINCADO</t>
  </si>
  <si>
    <t>Preço / PÇ</t>
  </si>
  <si>
    <t>582</t>
  </si>
  <si>
    <t xml:space="preserve">  1/4" x 25</t>
  </si>
  <si>
    <t>R$ 0,82</t>
  </si>
  <si>
    <t xml:space="preserve">  1/4" x 100</t>
  </si>
  <si>
    <t>583</t>
  </si>
  <si>
    <t xml:space="preserve">  1/4" x 50</t>
  </si>
  <si>
    <t>R$ 1,61</t>
  </si>
  <si>
    <t>999</t>
  </si>
  <si>
    <t xml:space="preserve">  1/4" x 200</t>
  </si>
  <si>
    <t>590</t>
  </si>
  <si>
    <t>5/16" x 25</t>
  </si>
  <si>
    <t>R$ 1,00</t>
  </si>
  <si>
    <t>1015</t>
  </si>
  <si>
    <t>5/16" x 100</t>
  </si>
  <si>
    <t>591</t>
  </si>
  <si>
    <t>5/16" x 50</t>
  </si>
  <si>
    <t>R$ 1,95</t>
  </si>
  <si>
    <t>1018</t>
  </si>
  <si>
    <t>5/16" x 200</t>
  </si>
  <si>
    <t>587</t>
  </si>
  <si>
    <t xml:space="preserve">  3/8" x 25</t>
  </si>
  <si>
    <t>R$ 1,01</t>
  </si>
  <si>
    <t>1002</t>
  </si>
  <si>
    <t xml:space="preserve">  3/8" x 100</t>
  </si>
  <si>
    <t>588</t>
  </si>
  <si>
    <t xml:space="preserve">  3/8" x 50</t>
  </si>
  <si>
    <t>R$ 2,02</t>
  </si>
  <si>
    <t>1007</t>
  </si>
  <si>
    <t xml:space="preserve">  3/8" x 200</t>
  </si>
  <si>
    <t>579</t>
  </si>
  <si>
    <t xml:space="preserve">  1/2" x 50 NC</t>
  </si>
  <si>
    <t>R$ 5,20</t>
  </si>
  <si>
    <t>1028</t>
  </si>
  <si>
    <t xml:space="preserve">7/16" x 350 </t>
  </si>
  <si>
    <t>580</t>
  </si>
  <si>
    <t xml:space="preserve">  1/2" x 50 WW</t>
  </si>
  <si>
    <t>1030</t>
  </si>
  <si>
    <t xml:space="preserve">7/16" x 450 </t>
  </si>
  <si>
    <t>592</t>
  </si>
  <si>
    <t xml:space="preserve">  5/8" x 50</t>
  </si>
  <si>
    <t>R$ 10,27</t>
  </si>
  <si>
    <t>989</t>
  </si>
  <si>
    <t xml:space="preserve">  1/2" x 350 NC</t>
  </si>
  <si>
    <t>584</t>
  </si>
  <si>
    <t xml:space="preserve">  3/4" x 50</t>
  </si>
  <si>
    <t>991</t>
  </si>
  <si>
    <t xml:space="preserve">  1/2" x 450 NC</t>
  </si>
  <si>
    <t>PARAFUSO OLHAL ZINCADO C/ SOLDA</t>
  </si>
  <si>
    <t>PORCA SEXTAVADA ZINCADA</t>
  </si>
  <si>
    <t>5240</t>
  </si>
  <si>
    <t>R$  5,20</t>
  </si>
  <si>
    <t>Embalagem / CT</t>
  </si>
  <si>
    <t>5205</t>
  </si>
  <si>
    <t>R$  6,35</t>
  </si>
  <si>
    <t>546</t>
  </si>
  <si>
    <t>R$ 3,09</t>
  </si>
  <si>
    <t>4658</t>
  </si>
  <si>
    <t>R$  6,80</t>
  </si>
  <si>
    <t>545</t>
  </si>
  <si>
    <t>R$ 4,88</t>
  </si>
  <si>
    <t>R$  8,31</t>
  </si>
  <si>
    <t>549</t>
  </si>
  <si>
    <t>R$ 7,15</t>
  </si>
  <si>
    <t>548</t>
  </si>
  <si>
    <t>R$ 10,35</t>
  </si>
  <si>
    <t>551</t>
  </si>
  <si>
    <t>R$ 15,33</t>
  </si>
  <si>
    <t>543</t>
  </si>
  <si>
    <t>R$ 24,36</t>
  </si>
  <si>
    <t>544</t>
  </si>
  <si>
    <t>553</t>
  </si>
  <si>
    <t>R$ 41,74</t>
  </si>
  <si>
    <t>550</t>
  </si>
  <si>
    <t>R$ 49,48</t>
  </si>
  <si>
    <t>547</t>
  </si>
  <si>
    <t>R$ 76,13</t>
  </si>
  <si>
    <t>552</t>
  </si>
  <si>
    <t>R$ 129,42</t>
  </si>
  <si>
    <t>542</t>
  </si>
  <si>
    <t>R$ 193,36</t>
  </si>
  <si>
    <t>541</t>
  </si>
  <si>
    <t>R$ 256,62</t>
  </si>
  <si>
    <t>540</t>
  </si>
  <si>
    <t>R$ 381,68</t>
  </si>
  <si>
    <t>539</t>
  </si>
  <si>
    <t>R$ 557,41</t>
  </si>
  <si>
    <t>ARRUELA LISA ZINCADA</t>
  </si>
  <si>
    <t>ARRUELA PRESSÃO ZINCADA</t>
  </si>
  <si>
    <t>214</t>
  </si>
  <si>
    <t>R$  2,83</t>
  </si>
  <si>
    <t>180</t>
  </si>
  <si>
    <t>R$  2,39</t>
  </si>
  <si>
    <t>211</t>
  </si>
  <si>
    <t>R$  3,97</t>
  </si>
  <si>
    <t>179</t>
  </si>
  <si>
    <t>R$  3,35</t>
  </si>
  <si>
    <t>217</t>
  </si>
  <si>
    <t>R$  4,68</t>
  </si>
  <si>
    <t>183</t>
  </si>
  <si>
    <t>R$  4,03</t>
  </si>
  <si>
    <t>216</t>
  </si>
  <si>
    <t>R$  7,59</t>
  </si>
  <si>
    <t>182</t>
  </si>
  <si>
    <t>R$  4,29</t>
  </si>
  <si>
    <t>219</t>
  </si>
  <si>
    <t>R$  17,68</t>
  </si>
  <si>
    <t>185</t>
  </si>
  <si>
    <t>R$  13,00</t>
  </si>
  <si>
    <t>210</t>
  </si>
  <si>
    <t>R$  30,47</t>
  </si>
  <si>
    <t>178</t>
  </si>
  <si>
    <t>R$  16,25</t>
  </si>
  <si>
    <t>221</t>
  </si>
  <si>
    <t>R$  33,63</t>
  </si>
  <si>
    <t>7391</t>
  </si>
  <si>
    <t>R$  18,98</t>
  </si>
  <si>
    <t>218</t>
  </si>
  <si>
    <t>R$  41,50</t>
  </si>
  <si>
    <t>184</t>
  </si>
  <si>
    <t>R$  29,19</t>
  </si>
  <si>
    <t>215</t>
  </si>
  <si>
    <t>R$  54,17</t>
  </si>
  <si>
    <t>181</t>
  </si>
  <si>
    <t>R$  49,76</t>
  </si>
  <si>
    <t>220</t>
  </si>
  <si>
    <t>R$  69,65</t>
  </si>
  <si>
    <t>186</t>
  </si>
  <si>
    <t>R$  76,40</t>
  </si>
  <si>
    <t>209</t>
  </si>
  <si>
    <t>R$  88,65</t>
  </si>
  <si>
    <t>3581</t>
  </si>
  <si>
    <t>R$  100,06</t>
  </si>
  <si>
    <t>207</t>
  </si>
  <si>
    <t>R$  116,94</t>
  </si>
  <si>
    <t xml:space="preserve">   IPI   :  6,50 %  (  à  incluir )</t>
  </si>
  <si>
    <t>7392</t>
  </si>
  <si>
    <t>R$  155,31</t>
  </si>
  <si>
    <t>206</t>
  </si>
  <si>
    <t>R$  129,92</t>
  </si>
  <si>
    <t>7393</t>
  </si>
  <si>
    <t>R$  248,51</t>
  </si>
  <si>
    <t>205</t>
  </si>
  <si>
    <t>R$  167,05</t>
  </si>
  <si>
    <t xml:space="preserve">   NCM :   7318.15.00</t>
  </si>
  <si>
    <t>7394</t>
  </si>
  <si>
    <t>R$  683,42</t>
  </si>
  <si>
    <t>PARAFUSO LENTILHA FENDA ZINCADO</t>
  </si>
  <si>
    <t>PARAFUSO LENTILHA TRAVA ZINCADO</t>
  </si>
  <si>
    <t>330</t>
  </si>
  <si>
    <t>1/4"  x 1/2"</t>
  </si>
  <si>
    <t>R$  9,88</t>
  </si>
  <si>
    <t>345</t>
  </si>
  <si>
    <t>332</t>
  </si>
  <si>
    <t>1/4"  x 5/8"</t>
  </si>
  <si>
    <t>R$  10,60</t>
  </si>
  <si>
    <t>347</t>
  </si>
  <si>
    <t>331</t>
  </si>
  <si>
    <t>1/4"  x 3/4"</t>
  </si>
  <si>
    <t>R$  11,44</t>
  </si>
  <si>
    <t>346</t>
  </si>
  <si>
    <t>337</t>
  </si>
  <si>
    <t>5/16"x 1/2"</t>
  </si>
  <si>
    <t>R$  16,77</t>
  </si>
  <si>
    <t>355</t>
  </si>
  <si>
    <t>338</t>
  </si>
  <si>
    <t>5/16"x 3/4"</t>
  </si>
  <si>
    <t>R$  19,24</t>
  </si>
  <si>
    <t>356</t>
  </si>
  <si>
    <t>333</t>
  </si>
  <si>
    <t>3/8"  x 1/2"</t>
  </si>
  <si>
    <t>R$  26,13</t>
  </si>
  <si>
    <t>350</t>
  </si>
  <si>
    <t>4630</t>
  </si>
  <si>
    <t>3/8"  x 3/4"</t>
  </si>
  <si>
    <t>R$  30,42</t>
  </si>
  <si>
    <t>351</t>
  </si>
  <si>
    <t>CHUMBADOR "CB" C/ PARAFUSO ZINCADO</t>
  </si>
  <si>
    <t>JAQUETA E CONE ZINCADO</t>
  </si>
  <si>
    <t>3353</t>
  </si>
  <si>
    <t xml:space="preserve">  1/4" x 2"</t>
  </si>
  <si>
    <t>R$ 0,68</t>
  </si>
  <si>
    <t>263</t>
  </si>
  <si>
    <t>R$ 0,39</t>
  </si>
  <si>
    <t>3362</t>
  </si>
  <si>
    <t>5/16" x 2.1/4"</t>
  </si>
  <si>
    <t>266</t>
  </si>
  <si>
    <t>3360</t>
  </si>
  <si>
    <t xml:space="preserve">  3/8" x 2.1/2"</t>
  </si>
  <si>
    <t>R$ 1,34</t>
  </si>
  <si>
    <t>265</t>
  </si>
  <si>
    <t>R$ 0,61</t>
  </si>
  <si>
    <t>3351</t>
  </si>
  <si>
    <t xml:space="preserve">  1/2" x 3"</t>
  </si>
  <si>
    <t>R$ 4,24</t>
  </si>
  <si>
    <t>262</t>
  </si>
  <si>
    <t xml:space="preserve">        1/2''  NC</t>
  </si>
  <si>
    <t>R$ 2,34</t>
  </si>
  <si>
    <t>3367</t>
  </si>
  <si>
    <t xml:space="preserve">  5/8" x 3.1/2"</t>
  </si>
  <si>
    <t>R$ 8,77</t>
  </si>
  <si>
    <t>267</t>
  </si>
  <si>
    <t>5/8''</t>
  </si>
  <si>
    <t>PORCA LOSANGULAR C/ ROSCA ZINCADA</t>
  </si>
  <si>
    <t>PORCA LOSANGULAR C/ MOLA ZINCADA</t>
  </si>
  <si>
    <t>522</t>
  </si>
  <si>
    <t>R$ 0,42</t>
  </si>
  <si>
    <t>501</t>
  </si>
  <si>
    <t>R$ 0,87</t>
  </si>
  <si>
    <t>524</t>
  </si>
  <si>
    <t>R$ 0,85</t>
  </si>
  <si>
    <t>503</t>
  </si>
  <si>
    <t>R$ 1,17</t>
  </si>
  <si>
    <t>523</t>
  </si>
  <si>
    <t>502</t>
  </si>
  <si>
    <t>PORCA LOSANGULAR C/ PINO ZINCADO</t>
  </si>
  <si>
    <t>509</t>
  </si>
  <si>
    <t>R$ 0,64</t>
  </si>
  <si>
    <t>512</t>
  </si>
  <si>
    <t>R$ 1,18</t>
  </si>
  <si>
    <t>511</t>
  </si>
  <si>
    <t>PARAFUSO SEXTAVADO ZINCADO</t>
  </si>
  <si>
    <t>PARAFUSO BROCANTE C/ VEDAÇÃO ZINCADO</t>
  </si>
  <si>
    <t>400</t>
  </si>
  <si>
    <t>1/4" x 1"</t>
  </si>
  <si>
    <t>R$ 12,05</t>
  </si>
  <si>
    <t>295</t>
  </si>
  <si>
    <t>10 x 3/4 (4.8 x 19)</t>
  </si>
  <si>
    <t>R$ 12,53</t>
  </si>
  <si>
    <t>397</t>
  </si>
  <si>
    <t>1/4" x 1 1/2"</t>
  </si>
  <si>
    <t>R$ 15,86</t>
  </si>
  <si>
    <t>297</t>
  </si>
  <si>
    <t>12 x 3/4 (5.5 x 19)</t>
  </si>
  <si>
    <t>R$ 14,20</t>
  </si>
  <si>
    <t>402</t>
  </si>
  <si>
    <t>1/4" x 2"</t>
  </si>
  <si>
    <t>R$ 19,81</t>
  </si>
  <si>
    <t>296</t>
  </si>
  <si>
    <t>12 x 1 (5.5 x 25)</t>
  </si>
  <si>
    <t>R$ 15,30</t>
  </si>
  <si>
    <t>429</t>
  </si>
  <si>
    <t>5/16" x 1"</t>
  </si>
  <si>
    <t>6338</t>
  </si>
  <si>
    <t>12 x 1 1/2 (5.5 x 38)</t>
  </si>
  <si>
    <t>R$ 20,07</t>
  </si>
  <si>
    <t>12354</t>
  </si>
  <si>
    <t>5/16" x 1 1/2"</t>
  </si>
  <si>
    <t>R$ 25,36</t>
  </si>
  <si>
    <t>10267</t>
  </si>
  <si>
    <t>12 x 2 (5.5 x 50)</t>
  </si>
  <si>
    <t>R$ 27,50</t>
  </si>
  <si>
    <t>432</t>
  </si>
  <si>
    <t>5/16" x 2"</t>
  </si>
  <si>
    <t>R$ 31,71</t>
  </si>
  <si>
    <t>300</t>
  </si>
  <si>
    <t>14 x 3/4 (6.3 x 19)</t>
  </si>
  <si>
    <t>R$ 20,03</t>
  </si>
  <si>
    <t>430</t>
  </si>
  <si>
    <t>5/16" x 2 1/2"</t>
  </si>
  <si>
    <t>R$ 34,88</t>
  </si>
  <si>
    <t>299</t>
  </si>
  <si>
    <t>14 x 1 (6.3 x 25)</t>
  </si>
  <si>
    <t>R$ 24,14</t>
  </si>
  <si>
    <t>420</t>
  </si>
  <si>
    <t>3/8" x 1"</t>
  </si>
  <si>
    <t>R$ 29,33</t>
  </si>
  <si>
    <t>298</t>
  </si>
  <si>
    <t>14 x 1 1/2 (6.3 x 38)</t>
  </si>
  <si>
    <t>R$ 40,47</t>
  </si>
  <si>
    <t>418</t>
  </si>
  <si>
    <t>3/8" x 1 1/2"</t>
  </si>
  <si>
    <t>R$ 38,05</t>
  </si>
  <si>
    <t>10212</t>
  </si>
  <si>
    <t>14 x 2 (6.3 x 50)</t>
  </si>
  <si>
    <t>R$ 35,27</t>
  </si>
  <si>
    <t>423</t>
  </si>
  <si>
    <t>3/8" x 2"</t>
  </si>
  <si>
    <t>R$ 46,77</t>
  </si>
  <si>
    <t>422</t>
  </si>
  <si>
    <t>3/8" x 2 1/2"</t>
  </si>
  <si>
    <t>R$ 55,48</t>
  </si>
  <si>
    <t>393</t>
  </si>
  <si>
    <t>1/2 x 3"</t>
  </si>
  <si>
    <t>R$ 119,55</t>
  </si>
  <si>
    <t>439</t>
  </si>
  <si>
    <t>5/8" x 3 1/2"</t>
  </si>
  <si>
    <t>R$ 222,24</t>
  </si>
  <si>
    <t>412</t>
  </si>
  <si>
    <t>3/4" x 3 1/2"</t>
  </si>
  <si>
    <t>R$ 344,84</t>
  </si>
  <si>
    <t>453</t>
  </si>
  <si>
    <t>7/8 x 4"</t>
  </si>
  <si>
    <t>R$ 554,85</t>
  </si>
  <si>
    <t>BARRA ROSCADA POLEGADA X 1000 INOX 304</t>
  </si>
  <si>
    <t>BARRA ROSCADA POLEGADA X 3000 INOX 304</t>
  </si>
  <si>
    <t>2216</t>
  </si>
  <si>
    <t>2226</t>
  </si>
  <si>
    <t>2266</t>
  </si>
  <si>
    <t>2269</t>
  </si>
  <si>
    <t>2247</t>
  </si>
  <si>
    <t>11707</t>
  </si>
  <si>
    <t>2168</t>
  </si>
  <si>
    <t>2177</t>
  </si>
  <si>
    <t>2169</t>
  </si>
  <si>
    <t>2178</t>
  </si>
  <si>
    <t>2276</t>
  </si>
  <si>
    <t>2284</t>
  </si>
  <si>
    <t>PORCA SEXTAVADA INOX 304</t>
  </si>
  <si>
    <t>ARRUELA LISA INOX 304</t>
  </si>
  <si>
    <t>567</t>
  </si>
  <si>
    <t>R$  19,12</t>
  </si>
  <si>
    <t>6863</t>
  </si>
  <si>
    <t>R$  6,63</t>
  </si>
  <si>
    <t>566</t>
  </si>
  <si>
    <t>R$  18,71</t>
  </si>
  <si>
    <t>230</t>
  </si>
  <si>
    <t>R$  9,49</t>
  </si>
  <si>
    <t>570</t>
  </si>
  <si>
    <t>R$  26,83</t>
  </si>
  <si>
    <t>232</t>
  </si>
  <si>
    <t>569</t>
  </si>
  <si>
    <t>R$  39,01</t>
  </si>
  <si>
    <t>231</t>
  </si>
  <si>
    <t>R$  16,51</t>
  </si>
  <si>
    <t>565</t>
  </si>
  <si>
    <t>R$  93,21</t>
  </si>
  <si>
    <t>229</t>
  </si>
  <si>
    <t>4585</t>
  </si>
  <si>
    <t>3588</t>
  </si>
  <si>
    <t>R$  64,22</t>
  </si>
  <si>
    <t>12351</t>
  </si>
  <si>
    <t>R$  157,69</t>
  </si>
  <si>
    <t>4982</t>
  </si>
  <si>
    <t>R$  101,01</t>
  </si>
  <si>
    <t>571</t>
  </si>
  <si>
    <t>R$  174,89</t>
  </si>
  <si>
    <t>568</t>
  </si>
  <si>
    <t>R$  299,78</t>
  </si>
  <si>
    <t xml:space="preserve">           IPI       :   6,50 %  (  à  incluir )</t>
  </si>
  <si>
    <t>12352</t>
  </si>
  <si>
    <t>R$  486,59</t>
  </si>
  <si>
    <t xml:space="preserve">           NCM  :   7318.15.00</t>
  </si>
  <si>
    <t>BRAÇADEIRA TIPO "U" SEM PORCA ZINCADA</t>
  </si>
  <si>
    <t>BRAÇADEIRA TIPO "U" COMPLETO ZINCADA</t>
  </si>
  <si>
    <t>1/2" x 1/4"</t>
  </si>
  <si>
    <t>3/4" x 1/4"</t>
  </si>
  <si>
    <t>1" x 1/4"</t>
  </si>
  <si>
    <t>1.1/4" x 1/4"</t>
  </si>
  <si>
    <t>1.1/2" x 1/4"</t>
  </si>
  <si>
    <t>2" x 1/4"</t>
  </si>
  <si>
    <t>673</t>
  </si>
  <si>
    <t>2 1/2" x 1/4"</t>
  </si>
  <si>
    <t>687</t>
  </si>
  <si>
    <t>3" x 1/4"</t>
  </si>
  <si>
    <t>868</t>
  </si>
  <si>
    <t>3 1/2" x 1/4"</t>
  </si>
  <si>
    <t>696</t>
  </si>
  <si>
    <t>4" x 1/4"</t>
  </si>
  <si>
    <t>649</t>
  </si>
  <si>
    <t>1/2" x 5/16"</t>
  </si>
  <si>
    <t>692</t>
  </si>
  <si>
    <t>3/4" x 5/16"</t>
  </si>
  <si>
    <t>646</t>
  </si>
  <si>
    <t>1" x 5/16"</t>
  </si>
  <si>
    <t>643</t>
  </si>
  <si>
    <t>1.1/4" x 5/16"</t>
  </si>
  <si>
    <t>640</t>
  </si>
  <si>
    <t>1.1/2" x 5/16"</t>
  </si>
  <si>
    <t>2" x 5/16"</t>
  </si>
  <si>
    <t>2.1/2" x 5/16"</t>
  </si>
  <si>
    <t>3" x 5/16"</t>
  </si>
  <si>
    <t>3.1/2" x 5/16"</t>
  </si>
  <si>
    <t>4" x 5/16"</t>
  </si>
  <si>
    <t>639</t>
  </si>
  <si>
    <t>1 1/2" x 3/8"</t>
  </si>
  <si>
    <t>678</t>
  </si>
  <si>
    <t>2" x 3/8"</t>
  </si>
  <si>
    <t>674</t>
  </si>
  <si>
    <t>2.1/2" x 3/8"</t>
  </si>
  <si>
    <t>688</t>
  </si>
  <si>
    <t>3" x 3/8"</t>
  </si>
  <si>
    <t>685</t>
  </si>
  <si>
    <t>3.1/2" x 3/8"</t>
  </si>
  <si>
    <t>697</t>
  </si>
  <si>
    <t>4" x 3/8"</t>
  </si>
  <si>
    <t>5" x 3/8"</t>
  </si>
  <si>
    <t>6" x 3/8"</t>
  </si>
  <si>
    <t>8" x 3/8"</t>
  </si>
  <si>
    <t>10" x 3/8"</t>
  </si>
  <si>
    <t>12" x 3/8"</t>
  </si>
  <si>
    <t>2" x 1/2"</t>
  </si>
  <si>
    <t>2.1/2" x 1/2"</t>
  </si>
  <si>
    <t>3" x 1/2"</t>
  </si>
  <si>
    <t>3.1/2" x 1/2"</t>
  </si>
  <si>
    <t>4" x 1/2"</t>
  </si>
  <si>
    <t>699</t>
  </si>
  <si>
    <t>5"x 1/2"</t>
  </si>
  <si>
    <t>6" x 1/2"</t>
  </si>
  <si>
    <t>8" x 1/2"</t>
  </si>
  <si>
    <t>10" x 1/2"</t>
  </si>
  <si>
    <t>12" x 1/2"</t>
  </si>
  <si>
    <t>4416</t>
  </si>
  <si>
    <t>6" x 5/8"</t>
  </si>
  <si>
    <t>715</t>
  </si>
  <si>
    <t>8" x 5/8"</t>
  </si>
  <si>
    <t>655</t>
  </si>
  <si>
    <t>10" x 5/8"</t>
  </si>
  <si>
    <t>660</t>
  </si>
  <si>
    <t>12" x 5/8"</t>
  </si>
  <si>
    <t>BRAÇADEIRA TIPO "U" SEM PORCA INOX</t>
  </si>
  <si>
    <t>BRAÇADEIRA TIPO "U" COMPLETO INOX</t>
  </si>
  <si>
    <t xml:space="preserve">   IPI      :   5 %  (  à  incluir )</t>
  </si>
  <si>
    <t xml:space="preserve">   NCM  :   7326.90.90</t>
  </si>
  <si>
    <t>BRAÇADEIRA TIPO "D" C/ PARAFUSO ZINCADA</t>
  </si>
  <si>
    <t>BRAÇADEIRA TIPO "D" C/ CUNHA ZINCADA</t>
  </si>
  <si>
    <t>3422</t>
  </si>
  <si>
    <t>R$ 0,43</t>
  </si>
  <si>
    <t>51</t>
  </si>
  <si>
    <t>R$ 0,44</t>
  </si>
  <si>
    <t>3437</t>
  </si>
  <si>
    <t>R$ 0,47</t>
  </si>
  <si>
    <t>56</t>
  </si>
  <si>
    <t>R$ 0,48</t>
  </si>
  <si>
    <t>3420</t>
  </si>
  <si>
    <t>R$ 0,51</t>
  </si>
  <si>
    <t>50</t>
  </si>
  <si>
    <t>R$ 0,52</t>
  </si>
  <si>
    <t>3416</t>
  </si>
  <si>
    <t>11/4"</t>
  </si>
  <si>
    <t>R$ 0,86</t>
  </si>
  <si>
    <t>49</t>
  </si>
  <si>
    <t>R$ 0,81</t>
  </si>
  <si>
    <t>3413</t>
  </si>
  <si>
    <t>11/2"</t>
  </si>
  <si>
    <t>R$ 0,94</t>
  </si>
  <si>
    <t>48</t>
  </si>
  <si>
    <t>R$ 0,88</t>
  </si>
  <si>
    <t>3430</t>
  </si>
  <si>
    <t>2"</t>
  </si>
  <si>
    <t>R$ 1,07</t>
  </si>
  <si>
    <t>53</t>
  </si>
  <si>
    <t>R$ 0,98</t>
  </si>
  <si>
    <t>3426</t>
  </si>
  <si>
    <t>21/2"</t>
  </si>
  <si>
    <t>R$ 1,53</t>
  </si>
  <si>
    <t>52</t>
  </si>
  <si>
    <t>R$ 1,63</t>
  </si>
  <si>
    <t>3434</t>
  </si>
  <si>
    <t>3"</t>
  </si>
  <si>
    <t>R$ 2,04</t>
  </si>
  <si>
    <t>55</t>
  </si>
  <si>
    <t>R$ 2,15</t>
  </si>
  <si>
    <t>3431</t>
  </si>
  <si>
    <t>31/2"</t>
  </si>
  <si>
    <t>R$ 2,55</t>
  </si>
  <si>
    <t>54</t>
  </si>
  <si>
    <t>R$ 2,21</t>
  </si>
  <si>
    <t>3441</t>
  </si>
  <si>
    <t>4"</t>
  </si>
  <si>
    <t>R$ 2,93</t>
  </si>
  <si>
    <t>57</t>
  </si>
  <si>
    <t>BRAÇADEIRA TIPO ECONÔMICA ZINCADA</t>
  </si>
  <si>
    <t>BRAÇADEIRA TIPO "U" PERFIL C/ PARAUSO</t>
  </si>
  <si>
    <t>116</t>
  </si>
  <si>
    <t>3385</t>
  </si>
  <si>
    <t>R$ 0,49</t>
  </si>
  <si>
    <t>124</t>
  </si>
  <si>
    <t>3403</t>
  </si>
  <si>
    <t>115</t>
  </si>
  <si>
    <t>R$ 0,59</t>
  </si>
  <si>
    <t>3380</t>
  </si>
  <si>
    <t>R$ 0,67</t>
  </si>
  <si>
    <t>114</t>
  </si>
  <si>
    <t>3379</t>
  </si>
  <si>
    <t>113</t>
  </si>
  <si>
    <t>R$ 0,91</t>
  </si>
  <si>
    <t>3374</t>
  </si>
  <si>
    <t>R$ 1,12</t>
  </si>
  <si>
    <t>121</t>
  </si>
  <si>
    <t>3394</t>
  </si>
  <si>
    <t>R$ 1,27</t>
  </si>
  <si>
    <t>120</t>
  </si>
  <si>
    <t>R$ 1,24</t>
  </si>
  <si>
    <t>3390</t>
  </si>
  <si>
    <t>R$ 1,54</t>
  </si>
  <si>
    <t>123</t>
  </si>
  <si>
    <t>R$ 1,56</t>
  </si>
  <si>
    <t>3399</t>
  </si>
  <si>
    <t>R$ 1,72</t>
  </si>
  <si>
    <t>122</t>
  </si>
  <si>
    <t>R$ 1,76</t>
  </si>
  <si>
    <t>3395</t>
  </si>
  <si>
    <t>R$ 1,89</t>
  </si>
  <si>
    <t>126</t>
  </si>
  <si>
    <t>R$ 1,91</t>
  </si>
  <si>
    <t>3406</t>
  </si>
  <si>
    <t>R$ 2,07</t>
  </si>
  <si>
    <t>128</t>
  </si>
  <si>
    <t>5"</t>
  </si>
  <si>
    <t>R$ 2,60</t>
  </si>
  <si>
    <t>3411</t>
  </si>
  <si>
    <t>6"</t>
  </si>
  <si>
    <t>R$ 3,99</t>
  </si>
  <si>
    <t>130</t>
  </si>
  <si>
    <t>R$ 3,95</t>
  </si>
  <si>
    <t>5501</t>
  </si>
  <si>
    <t>8"</t>
  </si>
  <si>
    <t>R$ 4,95</t>
  </si>
  <si>
    <t>131</t>
  </si>
  <si>
    <t>R$ 6,86</t>
  </si>
  <si>
    <t>3387</t>
  </si>
  <si>
    <t>10"</t>
  </si>
  <si>
    <t>R$ 6,01</t>
  </si>
  <si>
    <t>118</t>
  </si>
  <si>
    <t>R$ 11,18</t>
  </si>
  <si>
    <t>BRAÇADEIRA TIPO UNIÃO HORIZINTAL ZINCADA</t>
  </si>
  <si>
    <t>BRAÇADEIRA TIPO UNIÃO VERTICAL ZINCADA</t>
  </si>
  <si>
    <t>3243</t>
  </si>
  <si>
    <t>R$ 3,62</t>
  </si>
  <si>
    <t>3310</t>
  </si>
  <si>
    <t>3274</t>
  </si>
  <si>
    <t>R$ 3,86</t>
  </si>
  <si>
    <t>3326</t>
  </si>
  <si>
    <t>3241</t>
  </si>
  <si>
    <t>R$ 4,14</t>
  </si>
  <si>
    <t>3305</t>
  </si>
  <si>
    <t>3238</t>
  </si>
  <si>
    <t>R$ 4,54</t>
  </si>
  <si>
    <t>3302</t>
  </si>
  <si>
    <t>3234</t>
  </si>
  <si>
    <t>R$ 4,81</t>
  </si>
  <si>
    <t>3300</t>
  </si>
  <si>
    <t>3265</t>
  </si>
  <si>
    <t>R$ 7,16</t>
  </si>
  <si>
    <t>3317</t>
  </si>
  <si>
    <t>3261</t>
  </si>
  <si>
    <t>R$ 7,76</t>
  </si>
  <si>
    <t>3315</t>
  </si>
  <si>
    <t>3271</t>
  </si>
  <si>
    <t>R$ 8,86</t>
  </si>
  <si>
    <t>3325</t>
  </si>
  <si>
    <t>3267</t>
  </si>
  <si>
    <t>R$ 10,47</t>
  </si>
  <si>
    <t>3321</t>
  </si>
  <si>
    <t>3275</t>
  </si>
  <si>
    <t>R$ 11,46</t>
  </si>
  <si>
    <t>3329</t>
  </si>
  <si>
    <t>3278</t>
  </si>
  <si>
    <t>R$ 12,86</t>
  </si>
  <si>
    <t>3334</t>
  </si>
  <si>
    <t>3283</t>
  </si>
  <si>
    <t>R$ 16,76</t>
  </si>
  <si>
    <t>3336</t>
  </si>
  <si>
    <t>3284</t>
  </si>
  <si>
    <t>R$ 32,91</t>
  </si>
  <si>
    <t>3338</t>
  </si>
  <si>
    <t>3247</t>
  </si>
  <si>
    <t>R$ 37,58</t>
  </si>
  <si>
    <t>3312</t>
  </si>
  <si>
    <t>3251</t>
  </si>
  <si>
    <t>12"</t>
  </si>
  <si>
    <t>R$ 41,68</t>
  </si>
  <si>
    <t>5426</t>
  </si>
  <si>
    <t>BRAÇADEIRA TIPO ÔMEGA ZINCADA</t>
  </si>
  <si>
    <t>7655</t>
  </si>
  <si>
    <t>6781</t>
  </si>
  <si>
    <t>R$ 0,99</t>
  </si>
  <si>
    <t>6780</t>
  </si>
  <si>
    <t>R$ 1,14</t>
  </si>
  <si>
    <t>6782</t>
  </si>
  <si>
    <t>R$ 1,30</t>
  </si>
  <si>
    <t>6783</t>
  </si>
  <si>
    <t>7656</t>
  </si>
  <si>
    <t>R$ 1,96</t>
  </si>
  <si>
    <t>7657</t>
  </si>
  <si>
    <t>R$ 2,35</t>
  </si>
  <si>
    <t>7658</t>
  </si>
  <si>
    <t>R$ 2,72</t>
  </si>
  <si>
    <t>7659</t>
  </si>
  <si>
    <t>R$ 3,87</t>
  </si>
  <si>
    <t>7660</t>
  </si>
  <si>
    <t>R$ 4,15</t>
  </si>
  <si>
    <t>7661</t>
  </si>
  <si>
    <t>R$ 4,93</t>
  </si>
  <si>
    <t>7662</t>
  </si>
  <si>
    <t>R$ 5,92</t>
  </si>
  <si>
    <t>7663</t>
  </si>
  <si>
    <t>R$ 7,70</t>
  </si>
  <si>
    <t>7664</t>
  </si>
  <si>
    <t>R$ 10,31</t>
  </si>
  <si>
    <t>7665</t>
  </si>
  <si>
    <t>R$ 12,51</t>
  </si>
  <si>
    <t>GRAMPO "C"  / BALANCIM</t>
  </si>
  <si>
    <t>SUPORTE MEDAJOIST</t>
  </si>
  <si>
    <t>Descrição</t>
  </si>
  <si>
    <t xml:space="preserve">           IPI      :   ISENTO</t>
  </si>
  <si>
    <t>5018</t>
  </si>
  <si>
    <t>Grampo "C" completo</t>
  </si>
  <si>
    <t>SUPORTE MEDAJOIST CURTO</t>
  </si>
  <si>
    <t>4592</t>
  </si>
  <si>
    <t>Grampo "C"</t>
  </si>
  <si>
    <t xml:space="preserve">           NCM  :   7308.90.10</t>
  </si>
  <si>
    <t>SUPORTE MEDAJOIST 1000</t>
  </si>
  <si>
    <t>233</t>
  </si>
  <si>
    <t xml:space="preserve">Balancim </t>
  </si>
  <si>
    <t>SUPORTE MEDAJOIST 732</t>
  </si>
  <si>
    <t>MÍNIMA</t>
  </si>
  <si>
    <t>2240</t>
  </si>
  <si>
    <t>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</si>
</sst>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.00_-;&quot;-R$ &quot;* #,##0.00_-;_-&quot;R$ &quot;* \-??_-;_-@"/>
  </numFmts>
  <fonts count="11">
    <font>
      <sz val="11"/>
      <color rgb="FF000000"/>
      <name val="Calibri"/>
      <scheme val="minor"/>
    </font>
    <font>
      <sz val="9"/>
      <color rgb="FF000000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sz val="11"/>
      <name val="Calibri"/>
    </font>
    <font>
      <sz val="9"/>
      <color theme="1"/>
      <name val="Calibri"/>
    </font>
    <font>
      <b/>
      <sz val="10"/>
      <color rgb="FF000000"/>
      <name val="Calibri"/>
    </font>
    <font>
      <b/>
      <sz val="8"/>
      <color rgb="FF000000"/>
      <name val="Calibri"/>
    </font>
    <font>
      <sz val="11"/>
      <color theme="1"/>
      <name val="Calibri"/>
    </font>
    <font>
      <sz val="8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164" fontId="2" fillId="0" borderId="9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164" fontId="9" fillId="0" borderId="0" xfId="0" applyNumberFormat="1" applyFont="1"/>
    <xf numFmtId="0" fontId="0" fillId="0" borderId="0" xfId="0" applyFont="1" applyAlignment="1"/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ont="1" applyAlignment="1"/>
    <xf numFmtId="0" fontId="10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5" fillId="0" borderId="11" xfId="0" applyFont="1" applyBorder="1"/>
    <xf numFmtId="0" fontId="2" fillId="0" borderId="2" xfId="0" applyFont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14</xdr:row>
      <xdr:rowOff>95250</xdr:rowOff>
    </xdr:from>
    <xdr:ext cx="638175" cy="6324600"/>
    <xdr:pic>
      <xdr:nvPicPr>
        <xdr:cNvPr id="2" name="image2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77</xdr:row>
      <xdr:rowOff>19050</xdr:rowOff>
    </xdr:from>
    <xdr:ext cx="504825" cy="3276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110</xdr:row>
      <xdr:rowOff>19050</xdr:rowOff>
    </xdr:from>
    <xdr:ext cx="333375" cy="7429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106</xdr:row>
      <xdr:rowOff>19050</xdr:rowOff>
    </xdr:from>
    <xdr:ext cx="704850" cy="1609725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125</xdr:row>
      <xdr:rowOff>28575</xdr:rowOff>
    </xdr:from>
    <xdr:ext cx="742950" cy="819150"/>
    <xdr:pic>
      <xdr:nvPicPr>
        <xdr:cNvPr id="6" name="image5.png" title="Imag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138</xdr:row>
      <xdr:rowOff>9525</xdr:rowOff>
    </xdr:from>
    <xdr:ext cx="685800" cy="666750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158</xdr:row>
      <xdr:rowOff>161925</xdr:rowOff>
    </xdr:from>
    <xdr:ext cx="657225" cy="1152525"/>
    <xdr:pic>
      <xdr:nvPicPr>
        <xdr:cNvPr id="8" name="image19.png" title="Image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159</xdr:row>
      <xdr:rowOff>95250</xdr:rowOff>
    </xdr:from>
    <xdr:ext cx="676275" cy="1228725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171</xdr:row>
      <xdr:rowOff>57150</xdr:rowOff>
    </xdr:from>
    <xdr:ext cx="466725" cy="962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170</xdr:row>
      <xdr:rowOff>123825</xdr:rowOff>
    </xdr:from>
    <xdr:ext cx="323850" cy="895350"/>
    <xdr:pic>
      <xdr:nvPicPr>
        <xdr:cNvPr id="11" name="image11.png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179</xdr:row>
      <xdr:rowOff>0</xdr:rowOff>
    </xdr:from>
    <xdr:ext cx="457200" cy="71437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179</xdr:row>
      <xdr:rowOff>95250</xdr:rowOff>
    </xdr:from>
    <xdr:ext cx="628650" cy="828675"/>
    <xdr:pic>
      <xdr:nvPicPr>
        <xdr:cNvPr id="13" name="image22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186</xdr:row>
      <xdr:rowOff>9525</xdr:rowOff>
    </xdr:from>
    <xdr:ext cx="838200" cy="800100"/>
    <xdr:pic>
      <xdr:nvPicPr>
        <xdr:cNvPr id="14" name="image20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327</xdr:row>
      <xdr:rowOff>57150</xdr:rowOff>
    </xdr:from>
    <xdr:ext cx="771525" cy="914400"/>
    <xdr:pic>
      <xdr:nvPicPr>
        <xdr:cNvPr id="15" name="image10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330</xdr:row>
      <xdr:rowOff>76200</xdr:rowOff>
    </xdr:from>
    <xdr:ext cx="723900" cy="876300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342</xdr:row>
      <xdr:rowOff>57150</xdr:rowOff>
    </xdr:from>
    <xdr:ext cx="733425" cy="1019175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347</xdr:row>
      <xdr:rowOff>114300</xdr:rowOff>
    </xdr:from>
    <xdr:ext cx="704850" cy="1019175"/>
    <xdr:pic>
      <xdr:nvPicPr>
        <xdr:cNvPr id="18" name="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360</xdr:row>
      <xdr:rowOff>0</xdr:rowOff>
    </xdr:from>
    <xdr:ext cx="847725" cy="981075"/>
    <xdr:pic>
      <xdr:nvPicPr>
        <xdr:cNvPr id="19" name="image15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364</xdr:row>
      <xdr:rowOff>85725</xdr:rowOff>
    </xdr:from>
    <xdr:ext cx="742950" cy="1162050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378</xdr:row>
      <xdr:rowOff>85725</xdr:rowOff>
    </xdr:from>
    <xdr:ext cx="1085850" cy="695325"/>
    <xdr:pic>
      <xdr:nvPicPr>
        <xdr:cNvPr id="21" name="image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403</xdr:row>
      <xdr:rowOff>76200</xdr:rowOff>
    </xdr:from>
    <xdr:ext cx="361950" cy="485775"/>
    <xdr:pic>
      <xdr:nvPicPr>
        <xdr:cNvPr id="22" name="image1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144</xdr:row>
      <xdr:rowOff>0</xdr:rowOff>
    </xdr:from>
    <xdr:ext cx="752475" cy="733425"/>
    <xdr:pic>
      <xdr:nvPicPr>
        <xdr:cNvPr id="23" name="image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403</xdr:row>
      <xdr:rowOff>76200</xdr:rowOff>
    </xdr:from>
    <xdr:ext cx="466725" cy="600075"/>
    <xdr:pic>
      <xdr:nvPicPr>
        <xdr:cNvPr id="24" name="image1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403</xdr:row>
      <xdr:rowOff>66675</xdr:rowOff>
    </xdr:from>
    <xdr:ext cx="1381125" cy="619125"/>
    <xdr:pic>
      <xdr:nvPicPr>
        <xdr:cNvPr id="25" name="image25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403</xdr:row>
      <xdr:rowOff>38100</xdr:rowOff>
    </xdr:from>
    <xdr:ext cx="1285875" cy="638175"/>
    <xdr:pic>
      <xdr:nvPicPr>
        <xdr:cNvPr id="26" name="image23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300</xdr:row>
      <xdr:rowOff>47625</xdr:rowOff>
    </xdr:from>
    <xdr:ext cx="1567815" cy="1952625"/>
    <xdr:pic>
      <xdr:nvPicPr>
        <xdr:cNvPr id="28" name="image26.png" title="Imagem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153025" y="37332285"/>
          <a:ext cx="156781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228</xdr:row>
      <xdr:rowOff>9525</xdr:rowOff>
    </xdr:from>
    <xdr:ext cx="523875" cy="533400"/>
    <xdr:pic>
      <xdr:nvPicPr>
        <xdr:cNvPr id="29" name="image5.png" title="Imagem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229</xdr:row>
      <xdr:rowOff>123825</xdr:rowOff>
    </xdr:from>
    <xdr:ext cx="523875" cy="533400"/>
    <xdr:pic>
      <xdr:nvPicPr>
        <xdr:cNvPr id="30" name="image21.png" title="Imagem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201</xdr:row>
      <xdr:rowOff>19050</xdr:rowOff>
    </xdr:from>
    <xdr:ext cx="638175" cy="952500"/>
    <xdr:pic>
      <xdr:nvPicPr>
        <xdr:cNvPr id="31" name="image29.png" title="Imagem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195</xdr:row>
      <xdr:rowOff>95250</xdr:rowOff>
    </xdr:from>
    <xdr:ext cx="361950" cy="742950"/>
    <xdr:pic>
      <xdr:nvPicPr>
        <xdr:cNvPr id="32" name="image28.png" title="Imagem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130" zoomScaleNormal="100" workbookViewId="0">
      <selection activeCell="Q143" sqref="Q143"/>
    </sheetView>
  </sheetViews>
  <sheetFormatPr defaultColWidth="14.44140625" defaultRowHeight="15" customHeight="1"/>
  <cols>
    <col min="1" max="1" width="6.6640625" customWidth="1"/>
    <col min="2" max="2" width="10.33203125" customWidth="1"/>
    <col min="3" max="3" width="8.5546875" customWidth="1"/>
    <col min="4" max="4" width="6.6640625" customWidth="1"/>
    <col min="5" max="5" width="5" customWidth="1"/>
    <col min="6" max="6" width="10.109375" customWidth="1"/>
    <col min="7" max="7" width="9.44140625" customWidth="1"/>
    <col min="8" max="8" width="7.5546875" customWidth="1"/>
    <col min="9" max="9" width="8.44140625" customWidth="1"/>
    <col min="10" max="10" width="11" customWidth="1"/>
    <col min="11" max="11" width="8.109375" customWidth="1"/>
    <col min="12" max="14" width="8.88671875" customWidth="1"/>
    <col min="15" max="26" width="8.6640625" customWidth="1"/>
  </cols>
  <sheetData>
    <row r="1" spans="1:26" ht="9.75" customHeight="1">
      <c r="A1" s="49" t="s">
        <v>815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>
      <c r="A10" s="1"/>
      <c r="B10" s="1"/>
      <c r="C10" s="64"/>
      <c r="D10" s="59"/>
      <c r="E10" s="59"/>
      <c r="F10" s="59"/>
      <c r="G10" s="59"/>
      <c r="H10" s="59"/>
      <c r="I10" s="59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.25" customHeight="1">
      <c r="A11" s="1"/>
      <c r="B11" s="1"/>
      <c r="C11" s="59"/>
      <c r="D11" s="59"/>
      <c r="E11" s="59"/>
      <c r="F11" s="59"/>
      <c r="G11" s="59"/>
      <c r="H11" s="59"/>
      <c r="I11" s="59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>
      <c r="A12" s="58" t="s">
        <v>0</v>
      </c>
      <c r="B12" s="59"/>
      <c r="C12" s="59"/>
      <c r="D12" s="59"/>
      <c r="E12" s="59"/>
      <c r="F12" s="1"/>
      <c r="G12" s="1"/>
      <c r="H12" s="65" t="s">
        <v>1</v>
      </c>
      <c r="I12" s="59"/>
      <c r="J12" s="59"/>
      <c r="K12" s="5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>
      <c r="A13" s="59"/>
      <c r="B13" s="59"/>
      <c r="C13" s="59"/>
      <c r="D13" s="59"/>
      <c r="E13" s="59"/>
      <c r="F13" s="1"/>
      <c r="G13" s="1"/>
      <c r="H13" s="59"/>
      <c r="I13" s="59"/>
      <c r="J13" s="59"/>
      <c r="K13" s="5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>
      <c r="A14" s="4" t="s">
        <v>2</v>
      </c>
      <c r="B14" s="4" t="s">
        <v>3</v>
      </c>
      <c r="C14" s="5" t="s">
        <v>4</v>
      </c>
      <c r="D14" s="4" t="s">
        <v>5</v>
      </c>
      <c r="E14" s="1"/>
      <c r="F14" s="1"/>
      <c r="G14" s="1"/>
      <c r="H14" s="4" t="s">
        <v>2</v>
      </c>
      <c r="I14" s="4" t="s">
        <v>3</v>
      </c>
      <c r="J14" s="5" t="s">
        <v>4</v>
      </c>
      <c r="K14" s="4" t="s">
        <v>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>
      <c r="A15" s="6" t="s">
        <v>6</v>
      </c>
      <c r="B15" s="4" t="s">
        <v>7</v>
      </c>
      <c r="C15" s="7">
        <v>1</v>
      </c>
      <c r="D15" s="4">
        <v>100</v>
      </c>
      <c r="E15" s="8"/>
      <c r="F15" s="1"/>
      <c r="G15" s="1"/>
      <c r="H15" s="6" t="s">
        <v>8</v>
      </c>
      <c r="I15" s="4" t="s">
        <v>7</v>
      </c>
      <c r="J15" s="7">
        <v>1.1000000000000001</v>
      </c>
      <c r="K15" s="4">
        <v>100</v>
      </c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>
      <c r="A16" s="6" t="s">
        <v>9</v>
      </c>
      <c r="B16" s="4" t="s">
        <v>10</v>
      </c>
      <c r="C16" s="7">
        <v>1.02610248</v>
      </c>
      <c r="D16" s="4">
        <v>100</v>
      </c>
      <c r="E16" s="8"/>
      <c r="F16" s="1"/>
      <c r="G16" s="1"/>
      <c r="H16" s="6" t="s">
        <v>11</v>
      </c>
      <c r="I16" s="4" t="s">
        <v>10</v>
      </c>
      <c r="J16" s="7">
        <v>1.3681366400000003</v>
      </c>
      <c r="K16" s="4">
        <v>100</v>
      </c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>
      <c r="A17" s="6" t="s">
        <v>12</v>
      </c>
      <c r="B17" s="4" t="s">
        <v>13</v>
      </c>
      <c r="C17" s="7">
        <v>1.6598119199999997</v>
      </c>
      <c r="D17" s="4">
        <v>50</v>
      </c>
      <c r="E17" s="8"/>
      <c r="F17" s="1"/>
      <c r="G17" s="1"/>
      <c r="H17" s="6" t="s">
        <v>14</v>
      </c>
      <c r="I17" s="4" t="s">
        <v>13</v>
      </c>
      <c r="J17" s="7">
        <v>2.2130825599999997</v>
      </c>
      <c r="K17" s="4">
        <v>50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.25" customHeight="1">
      <c r="A18" s="6" t="s">
        <v>15</v>
      </c>
      <c r="B18" s="4" t="s">
        <v>16</v>
      </c>
      <c r="C18" s="7">
        <v>2.476032</v>
      </c>
      <c r="D18" s="4">
        <v>50</v>
      </c>
      <c r="E18" s="8"/>
      <c r="F18" s="1"/>
      <c r="G18" s="1"/>
      <c r="H18" s="6" t="s">
        <v>17</v>
      </c>
      <c r="I18" s="4" t="s">
        <v>16</v>
      </c>
      <c r="J18" s="7">
        <v>3.3013760000000003</v>
      </c>
      <c r="K18" s="4">
        <v>50</v>
      </c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.25" customHeight="1">
      <c r="A19" s="6" t="s">
        <v>18</v>
      </c>
      <c r="B19" s="4" t="s">
        <v>19</v>
      </c>
      <c r="C19" s="7">
        <v>3.6401539199999995</v>
      </c>
      <c r="D19" s="4">
        <v>25</v>
      </c>
      <c r="E19" s="8"/>
      <c r="F19" s="1"/>
      <c r="G19" s="1"/>
      <c r="H19" s="6" t="s">
        <v>20</v>
      </c>
      <c r="I19" s="4" t="s">
        <v>19</v>
      </c>
      <c r="J19" s="7">
        <v>4.8535385599999996</v>
      </c>
      <c r="K19" s="4">
        <v>25</v>
      </c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>
      <c r="A20" s="6" t="s">
        <v>21</v>
      </c>
      <c r="B20" s="4" t="s">
        <v>22</v>
      </c>
      <c r="C20" s="7">
        <v>4.4293891199999988</v>
      </c>
      <c r="D20" s="4">
        <v>25</v>
      </c>
      <c r="E20" s="8"/>
      <c r="F20" s="1"/>
      <c r="G20" s="1"/>
      <c r="H20" s="6" t="s">
        <v>23</v>
      </c>
      <c r="I20" s="4" t="s">
        <v>22</v>
      </c>
      <c r="J20" s="7">
        <v>5.9058521599999994</v>
      </c>
      <c r="K20" s="4">
        <v>25</v>
      </c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>
      <c r="A21" s="6" t="s">
        <v>24</v>
      </c>
      <c r="B21" s="4" t="s">
        <v>25</v>
      </c>
      <c r="C21" s="7">
        <v>4.4293891199999988</v>
      </c>
      <c r="D21" s="4">
        <v>25</v>
      </c>
      <c r="E21" s="8"/>
      <c r="F21" s="1"/>
      <c r="G21" s="1"/>
      <c r="H21" s="6" t="s">
        <v>26</v>
      </c>
      <c r="I21" s="4" t="s">
        <v>25</v>
      </c>
      <c r="J21" s="7">
        <v>5.9058521599999994</v>
      </c>
      <c r="K21" s="4">
        <v>25</v>
      </c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>
      <c r="A22" s="6" t="s">
        <v>27</v>
      </c>
      <c r="B22" s="4" t="s">
        <v>28</v>
      </c>
      <c r="C22" s="7">
        <v>10.009979980000001</v>
      </c>
      <c r="D22" s="4">
        <v>10</v>
      </c>
      <c r="E22" s="8"/>
      <c r="F22" s="1"/>
      <c r="G22" s="1"/>
      <c r="H22" s="6" t="s">
        <v>29</v>
      </c>
      <c r="I22" s="4" t="s">
        <v>28</v>
      </c>
      <c r="J22" s="7">
        <v>12.089975820000001</v>
      </c>
      <c r="K22" s="4">
        <v>10</v>
      </c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>
      <c r="A23" s="6" t="s">
        <v>30</v>
      </c>
      <c r="B23" s="4" t="s">
        <v>31</v>
      </c>
      <c r="C23" s="7">
        <v>10.5189267456</v>
      </c>
      <c r="D23" s="4">
        <v>10</v>
      </c>
      <c r="E23" s="8"/>
      <c r="F23" s="1"/>
      <c r="G23" s="1"/>
      <c r="H23" s="6" t="s">
        <v>32</v>
      </c>
      <c r="I23" s="4" t="s">
        <v>31</v>
      </c>
      <c r="J23" s="7">
        <v>13.148658432</v>
      </c>
      <c r="K23" s="4">
        <v>10</v>
      </c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>
      <c r="A24" s="6" t="s">
        <v>33</v>
      </c>
      <c r="B24" s="4" t="s">
        <v>34</v>
      </c>
      <c r="C24" s="7">
        <v>14.907776</v>
      </c>
      <c r="D24" s="4">
        <v>10</v>
      </c>
      <c r="E24" s="8"/>
      <c r="F24" s="1"/>
      <c r="G24" s="1"/>
      <c r="H24" s="6" t="s">
        <v>35</v>
      </c>
      <c r="I24" s="4" t="s">
        <v>34</v>
      </c>
      <c r="J24" s="7">
        <v>18.634719999999998</v>
      </c>
      <c r="K24" s="4">
        <v>10</v>
      </c>
      <c r="L24" s="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>
      <c r="A25" s="6" t="s">
        <v>36</v>
      </c>
      <c r="B25" s="4" t="s">
        <v>37</v>
      </c>
      <c r="C25" s="7">
        <v>20.63</v>
      </c>
      <c r="D25" s="4">
        <v>5</v>
      </c>
      <c r="E25" s="8"/>
      <c r="F25" s="1"/>
      <c r="G25" s="1"/>
      <c r="H25" s="6" t="s">
        <v>38</v>
      </c>
      <c r="I25" s="4" t="s">
        <v>39</v>
      </c>
      <c r="J25" s="7">
        <v>25.79</v>
      </c>
      <c r="K25" s="4">
        <v>5</v>
      </c>
      <c r="L25" s="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>
      <c r="A26" s="6" t="s">
        <v>40</v>
      </c>
      <c r="B26" s="4" t="s">
        <v>41</v>
      </c>
      <c r="C26" s="7">
        <v>27.29</v>
      </c>
      <c r="D26" s="4">
        <v>5</v>
      </c>
      <c r="E26" s="8"/>
      <c r="F26" s="1"/>
      <c r="G26" s="1"/>
      <c r="H26" s="6" t="s">
        <v>42</v>
      </c>
      <c r="I26" s="4" t="s">
        <v>41</v>
      </c>
      <c r="J26" s="7">
        <v>34.11</v>
      </c>
      <c r="K26" s="4">
        <v>5</v>
      </c>
      <c r="L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>
      <c r="A27" s="6" t="s">
        <v>43</v>
      </c>
      <c r="B27" s="4" t="s">
        <v>44</v>
      </c>
      <c r="C27" s="7">
        <v>41.95391200000001</v>
      </c>
      <c r="D27" s="4">
        <v>5</v>
      </c>
      <c r="E27" s="8"/>
      <c r="F27" s="1"/>
      <c r="G27" s="1"/>
      <c r="H27" s="6" t="s">
        <v>45</v>
      </c>
      <c r="I27" s="4" t="s">
        <v>44</v>
      </c>
      <c r="J27" s="7">
        <v>50.671608000000006</v>
      </c>
      <c r="K27" s="4">
        <v>5</v>
      </c>
      <c r="L27" s="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>
      <c r="A28" s="6" t="s">
        <v>46</v>
      </c>
      <c r="B28" s="4" t="s">
        <v>47</v>
      </c>
      <c r="C28" s="7">
        <v>52.194142000000006</v>
      </c>
      <c r="D28" s="4">
        <v>3</v>
      </c>
      <c r="E28" s="8"/>
      <c r="F28" s="1"/>
      <c r="G28" s="1"/>
      <c r="H28" s="6" t="s">
        <v>48</v>
      </c>
      <c r="I28" s="4" t="s">
        <v>47</v>
      </c>
      <c r="J28" s="7">
        <v>63.039678000000002</v>
      </c>
      <c r="K28" s="4">
        <v>3</v>
      </c>
      <c r="L28" s="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>
      <c r="A29" s="6" t="s">
        <v>49</v>
      </c>
      <c r="B29" s="4" t="s">
        <v>50</v>
      </c>
      <c r="C29" s="7">
        <v>76.025949999999995</v>
      </c>
      <c r="D29" s="4">
        <v>3</v>
      </c>
      <c r="E29" s="8"/>
      <c r="F29" s="1"/>
      <c r="G29" s="1"/>
      <c r="H29" s="6" t="s">
        <v>51</v>
      </c>
      <c r="I29" s="4" t="s">
        <v>50</v>
      </c>
      <c r="J29" s="7">
        <v>91.823549999999997</v>
      </c>
      <c r="K29" s="4">
        <v>3</v>
      </c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>
      <c r="A30" s="1"/>
      <c r="B30" s="1"/>
      <c r="C30" s="2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>
      <c r="A31" s="3" t="s">
        <v>52</v>
      </c>
      <c r="B31" s="3"/>
      <c r="C31" s="3"/>
      <c r="D31" s="3"/>
      <c r="E31" s="1"/>
      <c r="F31" s="1"/>
      <c r="G31" s="1"/>
      <c r="H31" s="2" t="s">
        <v>53</v>
      </c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>
      <c r="A32" s="4" t="s">
        <v>2</v>
      </c>
      <c r="B32" s="4" t="s">
        <v>3</v>
      </c>
      <c r="C32" s="5" t="s">
        <v>4</v>
      </c>
      <c r="D32" s="4" t="s">
        <v>5</v>
      </c>
      <c r="E32" s="1"/>
      <c r="F32" s="1"/>
      <c r="G32" s="1"/>
      <c r="H32" s="4" t="s">
        <v>2</v>
      </c>
      <c r="I32" s="4" t="s">
        <v>3</v>
      </c>
      <c r="J32" s="5" t="s">
        <v>4</v>
      </c>
      <c r="K32" s="4" t="s">
        <v>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>
      <c r="A33" s="6" t="s">
        <v>54</v>
      </c>
      <c r="B33" s="4" t="s">
        <v>10</v>
      </c>
      <c r="C33" s="7">
        <f t="shared" ref="C33:C46" si="0">C16*3</f>
        <v>3.0783074400000001</v>
      </c>
      <c r="D33" s="4">
        <v>50</v>
      </c>
      <c r="E33" s="1"/>
      <c r="F33" s="1"/>
      <c r="G33" s="1"/>
      <c r="H33" s="6" t="s">
        <v>55</v>
      </c>
      <c r="I33" s="4" t="s">
        <v>10</v>
      </c>
      <c r="J33" s="7">
        <f t="shared" ref="J33:J46" si="1">J16*3</f>
        <v>4.104409920000001</v>
      </c>
      <c r="K33" s="4">
        <v>50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>
      <c r="A34" s="6" t="s">
        <v>56</v>
      </c>
      <c r="B34" s="4" t="s">
        <v>13</v>
      </c>
      <c r="C34" s="7">
        <f t="shared" si="0"/>
        <v>4.9794357599999994</v>
      </c>
      <c r="D34" s="4">
        <v>25</v>
      </c>
      <c r="E34" s="1"/>
      <c r="F34" s="1"/>
      <c r="G34" s="1"/>
      <c r="H34" s="6" t="s">
        <v>57</v>
      </c>
      <c r="I34" s="4" t="s">
        <v>13</v>
      </c>
      <c r="J34" s="7">
        <f t="shared" si="1"/>
        <v>6.6392476799999987</v>
      </c>
      <c r="K34" s="4">
        <v>25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>
      <c r="A35" s="6" t="s">
        <v>58</v>
      </c>
      <c r="B35" s="4" t="s">
        <v>16</v>
      </c>
      <c r="C35" s="7">
        <f t="shared" si="0"/>
        <v>7.428096</v>
      </c>
      <c r="D35" s="4">
        <v>25</v>
      </c>
      <c r="E35" s="1"/>
      <c r="F35" s="1"/>
      <c r="G35" s="1"/>
      <c r="H35" s="6" t="s">
        <v>59</v>
      </c>
      <c r="I35" s="4" t="s">
        <v>16</v>
      </c>
      <c r="J35" s="7">
        <f t="shared" si="1"/>
        <v>9.904128</v>
      </c>
      <c r="K35" s="4">
        <v>25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>
      <c r="A36" s="6" t="s">
        <v>60</v>
      </c>
      <c r="B36" s="4" t="s">
        <v>19</v>
      </c>
      <c r="C36" s="7">
        <f t="shared" si="0"/>
        <v>10.920461759999998</v>
      </c>
      <c r="D36" s="4">
        <v>10</v>
      </c>
      <c r="E36" s="1"/>
      <c r="F36" s="1"/>
      <c r="G36" s="1"/>
      <c r="H36" s="6" t="s">
        <v>61</v>
      </c>
      <c r="I36" s="4" t="s">
        <v>19</v>
      </c>
      <c r="J36" s="7">
        <f t="shared" si="1"/>
        <v>14.560615679999998</v>
      </c>
      <c r="K36" s="4">
        <v>10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>
      <c r="A37" s="6" t="s">
        <v>62</v>
      </c>
      <c r="B37" s="4" t="s">
        <v>22</v>
      </c>
      <c r="C37" s="7">
        <f t="shared" si="0"/>
        <v>13.288167359999996</v>
      </c>
      <c r="D37" s="4">
        <v>10</v>
      </c>
      <c r="E37" s="1"/>
      <c r="F37" s="1"/>
      <c r="G37" s="1"/>
      <c r="H37" s="6" t="s">
        <v>63</v>
      </c>
      <c r="I37" s="4" t="s">
        <v>22</v>
      </c>
      <c r="J37" s="7">
        <f t="shared" si="1"/>
        <v>17.717556479999999</v>
      </c>
      <c r="K37" s="4">
        <v>10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>
      <c r="A38" s="6" t="s">
        <v>64</v>
      </c>
      <c r="B38" s="4" t="s">
        <v>25</v>
      </c>
      <c r="C38" s="7">
        <f t="shared" si="0"/>
        <v>13.288167359999996</v>
      </c>
      <c r="D38" s="4">
        <v>10</v>
      </c>
      <c r="E38" s="1"/>
      <c r="F38" s="1"/>
      <c r="G38" s="1"/>
      <c r="H38" s="6" t="s">
        <v>65</v>
      </c>
      <c r="I38" s="4" t="s">
        <v>25</v>
      </c>
      <c r="J38" s="7">
        <f t="shared" si="1"/>
        <v>17.717556479999999</v>
      </c>
      <c r="K38" s="4">
        <v>10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>
      <c r="A39" s="6" t="s">
        <v>66</v>
      </c>
      <c r="B39" s="4" t="s">
        <v>28</v>
      </c>
      <c r="C39" s="7">
        <f t="shared" si="0"/>
        <v>30.029939940000002</v>
      </c>
      <c r="D39" s="4">
        <v>10</v>
      </c>
      <c r="E39" s="1"/>
      <c r="F39" s="1"/>
      <c r="G39" s="1"/>
      <c r="H39" s="6" t="s">
        <v>67</v>
      </c>
      <c r="I39" s="4" t="s">
        <v>28</v>
      </c>
      <c r="J39" s="7">
        <f t="shared" si="1"/>
        <v>36.269927460000005</v>
      </c>
      <c r="K39" s="4">
        <v>10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>
      <c r="A40" s="6" t="s">
        <v>68</v>
      </c>
      <c r="B40" s="4" t="s">
        <v>31</v>
      </c>
      <c r="C40" s="7">
        <f t="shared" si="0"/>
        <v>31.556780236800002</v>
      </c>
      <c r="D40" s="4">
        <v>5</v>
      </c>
      <c r="E40" s="1"/>
      <c r="F40" s="1"/>
      <c r="G40" s="1"/>
      <c r="H40" s="6" t="s">
        <v>69</v>
      </c>
      <c r="I40" s="4" t="s">
        <v>31</v>
      </c>
      <c r="J40" s="7">
        <f t="shared" si="1"/>
        <v>39.445975296</v>
      </c>
      <c r="K40" s="4">
        <v>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>
      <c r="A41" s="6" t="s">
        <v>70</v>
      </c>
      <c r="B41" s="4" t="s">
        <v>34</v>
      </c>
      <c r="C41" s="7">
        <f t="shared" si="0"/>
        <v>44.723328000000002</v>
      </c>
      <c r="D41" s="4">
        <v>5</v>
      </c>
      <c r="E41" s="1"/>
      <c r="F41" s="1"/>
      <c r="G41" s="1"/>
      <c r="H41" s="6" t="s">
        <v>71</v>
      </c>
      <c r="I41" s="4" t="s">
        <v>34</v>
      </c>
      <c r="J41" s="7">
        <f t="shared" si="1"/>
        <v>55.90415999999999</v>
      </c>
      <c r="K41" s="4">
        <v>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>
      <c r="A42" s="6" t="s">
        <v>72</v>
      </c>
      <c r="B42" s="4" t="s">
        <v>37</v>
      </c>
      <c r="C42" s="7">
        <f t="shared" si="0"/>
        <v>61.89</v>
      </c>
      <c r="D42" s="4">
        <v>3</v>
      </c>
      <c r="E42" s="1"/>
      <c r="F42" s="1"/>
      <c r="G42" s="1"/>
      <c r="H42" s="6" t="s">
        <v>73</v>
      </c>
      <c r="I42" s="4" t="s">
        <v>39</v>
      </c>
      <c r="J42" s="7">
        <f t="shared" si="1"/>
        <v>77.37</v>
      </c>
      <c r="K42" s="4">
        <v>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>
      <c r="A43" s="6" t="s">
        <v>74</v>
      </c>
      <c r="B43" s="4" t="s">
        <v>41</v>
      </c>
      <c r="C43" s="7">
        <f t="shared" si="0"/>
        <v>81.87</v>
      </c>
      <c r="D43" s="4">
        <v>3</v>
      </c>
      <c r="E43" s="1"/>
      <c r="F43" s="1"/>
      <c r="G43" s="1"/>
      <c r="H43" s="6" t="s">
        <v>75</v>
      </c>
      <c r="I43" s="4" t="s">
        <v>41</v>
      </c>
      <c r="J43" s="7">
        <f t="shared" si="1"/>
        <v>102.33</v>
      </c>
      <c r="K43" s="4">
        <v>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>
      <c r="A44" s="6" t="s">
        <v>76</v>
      </c>
      <c r="B44" s="4" t="s">
        <v>44</v>
      </c>
      <c r="C44" s="7">
        <f t="shared" si="0"/>
        <v>125.86173600000004</v>
      </c>
      <c r="D44" s="4">
        <v>1</v>
      </c>
      <c r="E44" s="9"/>
      <c r="F44" s="9"/>
      <c r="G44" s="9"/>
      <c r="H44" s="6" t="s">
        <v>77</v>
      </c>
      <c r="I44" s="4" t="s">
        <v>44</v>
      </c>
      <c r="J44" s="7">
        <f t="shared" si="1"/>
        <v>152.01482400000003</v>
      </c>
      <c r="K44" s="4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>
      <c r="A45" s="6" t="s">
        <v>78</v>
      </c>
      <c r="B45" s="4" t="s">
        <v>47</v>
      </c>
      <c r="C45" s="7">
        <f t="shared" si="0"/>
        <v>156.58242600000003</v>
      </c>
      <c r="D45" s="4">
        <v>1</v>
      </c>
      <c r="E45" s="9"/>
      <c r="F45" s="9"/>
      <c r="G45" s="9"/>
      <c r="H45" s="6" t="s">
        <v>79</v>
      </c>
      <c r="I45" s="4" t="s">
        <v>47</v>
      </c>
      <c r="J45" s="7">
        <f t="shared" si="1"/>
        <v>189.119034</v>
      </c>
      <c r="K45" s="4">
        <v>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>
      <c r="A46" s="6" t="s">
        <v>80</v>
      </c>
      <c r="B46" s="4" t="s">
        <v>50</v>
      </c>
      <c r="C46" s="7">
        <f t="shared" si="0"/>
        <v>228.07784999999998</v>
      </c>
      <c r="D46" s="4">
        <v>1</v>
      </c>
      <c r="E46" s="1"/>
      <c r="F46" s="1"/>
      <c r="G46" s="1"/>
      <c r="H46" s="6" t="s">
        <v>81</v>
      </c>
      <c r="I46" s="4" t="s">
        <v>50</v>
      </c>
      <c r="J46" s="7">
        <f t="shared" si="1"/>
        <v>275.47064999999998</v>
      </c>
      <c r="K46" s="4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>
      <c r="A47" s="1"/>
      <c r="B47" s="1"/>
      <c r="C47" s="2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>
      <c r="A48" s="58" t="s">
        <v>82</v>
      </c>
      <c r="B48" s="59"/>
      <c r="C48" s="59"/>
      <c r="D48" s="59"/>
      <c r="E48" s="1"/>
      <c r="F48" s="1"/>
      <c r="G48" s="1"/>
      <c r="H48" s="58" t="s">
        <v>83</v>
      </c>
      <c r="I48" s="59"/>
      <c r="J48" s="59"/>
      <c r="K48" s="5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>
      <c r="A49" s="59"/>
      <c r="B49" s="59"/>
      <c r="C49" s="59"/>
      <c r="D49" s="59"/>
      <c r="E49" s="1"/>
      <c r="F49" s="1"/>
      <c r="G49" s="1"/>
      <c r="H49" s="59"/>
      <c r="I49" s="59"/>
      <c r="J49" s="59"/>
      <c r="K49" s="5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>
      <c r="A50" s="4" t="s">
        <v>2</v>
      </c>
      <c r="B50" s="4" t="s">
        <v>3</v>
      </c>
      <c r="C50" s="5" t="s">
        <v>4</v>
      </c>
      <c r="D50" s="4" t="s">
        <v>5</v>
      </c>
      <c r="E50" s="1"/>
      <c r="F50" s="1"/>
      <c r="G50" s="1"/>
      <c r="H50" s="4" t="s">
        <v>2</v>
      </c>
      <c r="I50" s="4" t="s">
        <v>3</v>
      </c>
      <c r="J50" s="5" t="s">
        <v>4</v>
      </c>
      <c r="K50" s="4" t="s">
        <v>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>
      <c r="A51" s="6" t="s">
        <v>84</v>
      </c>
      <c r="B51" s="4" t="s">
        <v>85</v>
      </c>
      <c r="C51" s="7">
        <v>1.0415999999999999</v>
      </c>
      <c r="D51" s="4">
        <v>100</v>
      </c>
      <c r="E51" s="8"/>
      <c r="F51" s="1"/>
      <c r="G51" s="1"/>
      <c r="H51" s="6" t="s">
        <v>86</v>
      </c>
      <c r="I51" s="4" t="s">
        <v>85</v>
      </c>
      <c r="J51" s="7">
        <v>1.3887999999999998</v>
      </c>
      <c r="K51" s="4">
        <v>100</v>
      </c>
      <c r="L51" s="8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>
      <c r="A52" s="6" t="s">
        <v>87</v>
      </c>
      <c r="B52" s="4" t="s">
        <v>88</v>
      </c>
      <c r="C52" s="7">
        <v>1.9265433599999995</v>
      </c>
      <c r="D52" s="4">
        <v>50</v>
      </c>
      <c r="E52" s="8"/>
      <c r="F52" s="1"/>
      <c r="G52" s="1"/>
      <c r="H52" s="6" t="s">
        <v>89</v>
      </c>
      <c r="I52" s="4" t="s">
        <v>88</v>
      </c>
      <c r="J52" s="7">
        <v>2.5687244799999993</v>
      </c>
      <c r="K52" s="4">
        <v>50</v>
      </c>
      <c r="L52" s="8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>
      <c r="A53" s="6" t="s">
        <v>90</v>
      </c>
      <c r="B53" s="4" t="s">
        <v>91</v>
      </c>
      <c r="C53" s="7">
        <v>3.2264601600000002</v>
      </c>
      <c r="D53" s="4">
        <v>25</v>
      </c>
      <c r="E53" s="8"/>
      <c r="F53" s="1"/>
      <c r="G53" s="1"/>
      <c r="H53" s="6" t="s">
        <v>92</v>
      </c>
      <c r="I53" s="4" t="s">
        <v>91</v>
      </c>
      <c r="J53" s="7">
        <v>4.30194688</v>
      </c>
      <c r="K53" s="4">
        <v>25</v>
      </c>
      <c r="L53" s="8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>
      <c r="A54" s="6" t="s">
        <v>93</v>
      </c>
      <c r="B54" s="4" t="s">
        <v>94</v>
      </c>
      <c r="C54" s="7">
        <v>4.7701113599999987</v>
      </c>
      <c r="D54" s="4">
        <v>25</v>
      </c>
      <c r="E54" s="8"/>
      <c r="F54" s="1"/>
      <c r="G54" s="1"/>
      <c r="H54" s="6" t="s">
        <v>95</v>
      </c>
      <c r="I54" s="4" t="s">
        <v>94</v>
      </c>
      <c r="J54" s="7">
        <v>6.3601484799999985</v>
      </c>
      <c r="K54" s="4">
        <v>25</v>
      </c>
      <c r="L54" s="8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>
      <c r="A55" s="6" t="s">
        <v>96</v>
      </c>
      <c r="B55" s="4" t="s">
        <v>97</v>
      </c>
      <c r="C55" s="7">
        <v>10.779978439999999</v>
      </c>
      <c r="D55" s="4">
        <v>10</v>
      </c>
      <c r="E55" s="8"/>
      <c r="F55" s="1"/>
      <c r="G55" s="1"/>
      <c r="H55" s="6" t="s">
        <v>98</v>
      </c>
      <c r="I55" s="4" t="s">
        <v>97</v>
      </c>
      <c r="J55" s="7">
        <v>13.01997396</v>
      </c>
      <c r="K55" s="4">
        <v>10</v>
      </c>
      <c r="L55" s="8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>
      <c r="A56" s="6" t="s">
        <v>99</v>
      </c>
      <c r="B56" s="4" t="s">
        <v>100</v>
      </c>
      <c r="C56" s="7">
        <v>13.629090182399999</v>
      </c>
      <c r="D56" s="4">
        <v>10</v>
      </c>
      <c r="E56" s="8"/>
      <c r="F56" s="1"/>
      <c r="G56" s="1"/>
      <c r="H56" s="6" t="s">
        <v>101</v>
      </c>
      <c r="I56" s="4" t="s">
        <v>100</v>
      </c>
      <c r="J56" s="7">
        <v>16.461108921600001</v>
      </c>
      <c r="K56" s="4">
        <v>10</v>
      </c>
      <c r="L56" s="8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>
      <c r="A57" s="6" t="s">
        <v>102</v>
      </c>
      <c r="B57" s="4" t="s">
        <v>103</v>
      </c>
      <c r="C57" s="7">
        <v>21.654864</v>
      </c>
      <c r="D57" s="4">
        <v>10</v>
      </c>
      <c r="E57" s="8"/>
      <c r="F57" s="1"/>
      <c r="G57" s="1"/>
      <c r="H57" s="6" t="s">
        <v>104</v>
      </c>
      <c r="I57" s="4" t="s">
        <v>103</v>
      </c>
      <c r="J57" s="7">
        <v>26.154575999999999</v>
      </c>
      <c r="K57" s="4">
        <v>10</v>
      </c>
      <c r="L57" s="8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>
      <c r="A58" s="6" t="s">
        <v>105</v>
      </c>
      <c r="B58" s="4" t="s">
        <v>106</v>
      </c>
      <c r="C58" s="7">
        <v>32.348623999999994</v>
      </c>
      <c r="D58" s="4">
        <v>4</v>
      </c>
      <c r="E58" s="8"/>
      <c r="F58" s="1"/>
      <c r="G58" s="1"/>
      <c r="H58" s="6" t="s">
        <v>107</v>
      </c>
      <c r="I58" s="4" t="s">
        <v>106</v>
      </c>
      <c r="J58" s="7">
        <v>39.070416000000002</v>
      </c>
      <c r="K58" s="4">
        <v>4</v>
      </c>
      <c r="L58" s="8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>
      <c r="A59" s="6" t="s">
        <v>108</v>
      </c>
      <c r="B59" s="4" t="s">
        <v>109</v>
      </c>
      <c r="C59" s="7">
        <v>50.544725</v>
      </c>
      <c r="D59" s="4">
        <v>4</v>
      </c>
      <c r="E59" s="8"/>
      <c r="F59" s="1"/>
      <c r="G59" s="1"/>
      <c r="H59" s="6" t="s">
        <v>110</v>
      </c>
      <c r="I59" s="4" t="s">
        <v>109</v>
      </c>
      <c r="J59" s="7">
        <v>61.047525</v>
      </c>
      <c r="K59" s="4">
        <v>4</v>
      </c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>
      <c r="A60" s="6" t="s">
        <v>111</v>
      </c>
      <c r="B60" s="4" t="s">
        <v>112</v>
      </c>
      <c r="C60" s="7">
        <v>73.669312640000001</v>
      </c>
      <c r="D60" s="4">
        <v>2</v>
      </c>
      <c r="E60" s="8"/>
      <c r="F60" s="1"/>
      <c r="G60" s="1"/>
      <c r="H60" s="6" t="s">
        <v>113</v>
      </c>
      <c r="I60" s="4" t="s">
        <v>112</v>
      </c>
      <c r="J60" s="7">
        <v>88.977221760000006</v>
      </c>
      <c r="K60" s="4">
        <v>2</v>
      </c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>
      <c r="A61" s="1"/>
      <c r="B61" s="1"/>
      <c r="C61" s="2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>
      <c r="A62" s="58" t="s">
        <v>114</v>
      </c>
      <c r="B62" s="59"/>
      <c r="C62" s="59"/>
      <c r="D62" s="59"/>
      <c r="E62" s="1"/>
      <c r="F62" s="1"/>
      <c r="G62" s="1"/>
      <c r="H62" s="58" t="s">
        <v>115</v>
      </c>
      <c r="I62" s="59"/>
      <c r="J62" s="59"/>
      <c r="K62" s="5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>
      <c r="A63" s="59"/>
      <c r="B63" s="59"/>
      <c r="C63" s="59"/>
      <c r="D63" s="59"/>
      <c r="E63" s="1"/>
      <c r="F63" s="1"/>
      <c r="G63" s="1"/>
      <c r="H63" s="59"/>
      <c r="I63" s="59"/>
      <c r="J63" s="59"/>
      <c r="K63" s="5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>
      <c r="A64" s="4" t="s">
        <v>2</v>
      </c>
      <c r="B64" s="4" t="s">
        <v>3</v>
      </c>
      <c r="C64" s="5" t="s">
        <v>4</v>
      </c>
      <c r="D64" s="4" t="s">
        <v>5</v>
      </c>
      <c r="E64" s="1"/>
      <c r="F64" s="1"/>
      <c r="G64" s="1"/>
      <c r="H64" s="4" t="s">
        <v>2</v>
      </c>
      <c r="I64" s="4" t="s">
        <v>3</v>
      </c>
      <c r="J64" s="5" t="s">
        <v>4</v>
      </c>
      <c r="K64" s="4" t="s">
        <v>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>
      <c r="A65" s="6" t="s">
        <v>116</v>
      </c>
      <c r="B65" s="4" t="s">
        <v>85</v>
      </c>
      <c r="C65" s="7">
        <f t="shared" ref="C65:C74" si="2">C51*3</f>
        <v>3.1247999999999996</v>
      </c>
      <c r="D65" s="4">
        <v>50</v>
      </c>
      <c r="E65" s="1"/>
      <c r="F65" s="1"/>
      <c r="G65" s="1"/>
      <c r="H65" s="6" t="s">
        <v>117</v>
      </c>
      <c r="I65" s="4" t="s">
        <v>85</v>
      </c>
      <c r="J65" s="7">
        <f t="shared" ref="J65:J74" si="3">J51*3</f>
        <v>4.1663999999999994</v>
      </c>
      <c r="K65" s="4">
        <v>50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>
      <c r="A66" s="6" t="s">
        <v>118</v>
      </c>
      <c r="B66" s="4" t="s">
        <v>88</v>
      </c>
      <c r="C66" s="7">
        <f t="shared" si="2"/>
        <v>5.7796300799999987</v>
      </c>
      <c r="D66" s="4">
        <v>25</v>
      </c>
      <c r="E66" s="1"/>
      <c r="F66" s="1"/>
      <c r="G66" s="1"/>
      <c r="H66" s="6" t="s">
        <v>119</v>
      </c>
      <c r="I66" s="4" t="s">
        <v>88</v>
      </c>
      <c r="J66" s="7">
        <f t="shared" si="3"/>
        <v>7.7061734399999979</v>
      </c>
      <c r="K66" s="4">
        <v>25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>
      <c r="A67" s="6" t="s">
        <v>120</v>
      </c>
      <c r="B67" s="4" t="s">
        <v>91</v>
      </c>
      <c r="C67" s="7">
        <f t="shared" si="2"/>
        <v>9.6793804800000007</v>
      </c>
      <c r="D67" s="4">
        <v>25</v>
      </c>
      <c r="E67" s="1"/>
      <c r="F67" s="1"/>
      <c r="G67" s="1"/>
      <c r="H67" s="6" t="s">
        <v>121</v>
      </c>
      <c r="I67" s="4" t="s">
        <v>91</v>
      </c>
      <c r="J67" s="7">
        <f t="shared" si="3"/>
        <v>12.905840640000001</v>
      </c>
      <c r="K67" s="4">
        <v>25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>
      <c r="A68" s="6" t="s">
        <v>122</v>
      </c>
      <c r="B68" s="4" t="s">
        <v>94</v>
      </c>
      <c r="C68" s="7">
        <f t="shared" si="2"/>
        <v>14.310334079999997</v>
      </c>
      <c r="D68" s="4">
        <v>10</v>
      </c>
      <c r="E68" s="1"/>
      <c r="F68" s="1"/>
      <c r="G68" s="1"/>
      <c r="H68" s="6" t="s">
        <v>123</v>
      </c>
      <c r="I68" s="4" t="s">
        <v>94</v>
      </c>
      <c r="J68" s="7">
        <f t="shared" si="3"/>
        <v>19.080445439999995</v>
      </c>
      <c r="K68" s="4">
        <v>10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>
      <c r="A69" s="6" t="s">
        <v>124</v>
      </c>
      <c r="B69" s="4" t="s">
        <v>97</v>
      </c>
      <c r="C69" s="7">
        <f t="shared" si="2"/>
        <v>32.339935319999995</v>
      </c>
      <c r="D69" s="4">
        <v>10</v>
      </c>
      <c r="E69" s="1"/>
      <c r="F69" s="1"/>
      <c r="G69" s="1"/>
      <c r="H69" s="6" t="s">
        <v>125</v>
      </c>
      <c r="I69" s="4" t="s">
        <v>97</v>
      </c>
      <c r="J69" s="7">
        <f t="shared" si="3"/>
        <v>39.059921879999997</v>
      </c>
      <c r="K69" s="4">
        <v>10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>
      <c r="A70" s="6" t="s">
        <v>126</v>
      </c>
      <c r="B70" s="4" t="s">
        <v>100</v>
      </c>
      <c r="C70" s="7">
        <f t="shared" si="2"/>
        <v>40.887270547199996</v>
      </c>
      <c r="D70" s="4">
        <v>10</v>
      </c>
      <c r="E70" s="1"/>
      <c r="F70" s="1"/>
      <c r="G70" s="1"/>
      <c r="H70" s="6" t="s">
        <v>127</v>
      </c>
      <c r="I70" s="4" t="s">
        <v>100</v>
      </c>
      <c r="J70" s="7">
        <f t="shared" si="3"/>
        <v>49.383326764800003</v>
      </c>
      <c r="K70" s="4">
        <v>10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>
      <c r="A71" s="6" t="s">
        <v>128</v>
      </c>
      <c r="B71" s="4" t="s">
        <v>103</v>
      </c>
      <c r="C71" s="7">
        <f t="shared" si="2"/>
        <v>64.964591999999996</v>
      </c>
      <c r="D71" s="4">
        <v>5</v>
      </c>
      <c r="E71" s="52" t="s">
        <v>129</v>
      </c>
      <c r="F71" s="53"/>
      <c r="G71" s="54"/>
      <c r="H71" s="6" t="s">
        <v>130</v>
      </c>
      <c r="I71" s="4" t="s">
        <v>103</v>
      </c>
      <c r="J71" s="7">
        <f t="shared" si="3"/>
        <v>78.463728000000003</v>
      </c>
      <c r="K71" s="4">
        <v>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>
      <c r="A72" s="6" t="s">
        <v>131</v>
      </c>
      <c r="B72" s="4" t="s">
        <v>106</v>
      </c>
      <c r="C72" s="7">
        <f t="shared" si="2"/>
        <v>97.045871999999974</v>
      </c>
      <c r="D72" s="4">
        <v>3</v>
      </c>
      <c r="E72" s="55"/>
      <c r="F72" s="56"/>
      <c r="G72" s="57"/>
      <c r="H72" s="6" t="s">
        <v>132</v>
      </c>
      <c r="I72" s="4" t="s">
        <v>106</v>
      </c>
      <c r="J72" s="7">
        <f t="shared" si="3"/>
        <v>117.21124800000001</v>
      </c>
      <c r="K72" s="4">
        <v>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>
      <c r="A73" s="6" t="s">
        <v>133</v>
      </c>
      <c r="B73" s="4" t="s">
        <v>109</v>
      </c>
      <c r="C73" s="7">
        <f t="shared" si="2"/>
        <v>151.634175</v>
      </c>
      <c r="D73" s="4">
        <v>1</v>
      </c>
      <c r="E73" s="52" t="s">
        <v>134</v>
      </c>
      <c r="F73" s="53"/>
      <c r="G73" s="54"/>
      <c r="H73" s="6" t="s">
        <v>135</v>
      </c>
      <c r="I73" s="4" t="s">
        <v>109</v>
      </c>
      <c r="J73" s="7">
        <f t="shared" si="3"/>
        <v>183.14257499999999</v>
      </c>
      <c r="K73" s="4">
        <v>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>
      <c r="A74" s="6" t="s">
        <v>136</v>
      </c>
      <c r="B74" s="4" t="s">
        <v>112</v>
      </c>
      <c r="C74" s="7">
        <f t="shared" si="2"/>
        <v>221.00793792000002</v>
      </c>
      <c r="D74" s="4">
        <v>1</v>
      </c>
      <c r="E74" s="55"/>
      <c r="F74" s="56"/>
      <c r="G74" s="57"/>
      <c r="H74" s="6" t="s">
        <v>137</v>
      </c>
      <c r="I74" s="4" t="s">
        <v>112</v>
      </c>
      <c r="J74" s="7">
        <f t="shared" si="3"/>
        <v>266.93166528</v>
      </c>
      <c r="K74" s="4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s="42" customFormat="1" ht="11.25" customHeight="1">
      <c r="A75" s="43"/>
      <c r="B75" s="44"/>
      <c r="C75" s="45"/>
      <c r="D75" s="44"/>
      <c r="E75" s="46"/>
      <c r="F75" s="46"/>
      <c r="G75" s="46"/>
      <c r="H75" s="43"/>
      <c r="I75" s="44"/>
      <c r="J75" s="45"/>
      <c r="K75" s="4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>
      <c r="A76" s="58" t="s">
        <v>138</v>
      </c>
      <c r="B76" s="59"/>
      <c r="C76" s="59"/>
      <c r="D76" s="59"/>
      <c r="E76" s="1"/>
      <c r="F76" s="1"/>
      <c r="G76" s="1"/>
      <c r="H76" s="65" t="s">
        <v>139</v>
      </c>
      <c r="I76" s="59"/>
      <c r="J76" s="59"/>
      <c r="K76" s="59"/>
      <c r="L76" s="1"/>
      <c r="M76" s="1"/>
      <c r="R76" s="1"/>
      <c r="S76" s="1"/>
      <c r="X76" s="1"/>
      <c r="Y76" s="1"/>
      <c r="Z76" s="1"/>
    </row>
    <row r="77" spans="1:26" ht="10.5" customHeight="1">
      <c r="A77" s="59"/>
      <c r="B77" s="59"/>
      <c r="C77" s="59"/>
      <c r="D77" s="59"/>
      <c r="E77" s="1"/>
      <c r="F77" s="1"/>
      <c r="G77" s="1"/>
      <c r="H77" s="59"/>
      <c r="I77" s="59"/>
      <c r="J77" s="59"/>
      <c r="K77" s="59"/>
      <c r="L77" s="1"/>
      <c r="M77" s="1"/>
      <c r="R77" s="1"/>
      <c r="S77" s="1"/>
      <c r="X77" s="1"/>
      <c r="Y77" s="1"/>
      <c r="Z77" s="1"/>
    </row>
    <row r="78" spans="1:26" ht="10.5" customHeight="1">
      <c r="A78" s="4" t="s">
        <v>2</v>
      </c>
      <c r="B78" s="4" t="s">
        <v>3</v>
      </c>
      <c r="C78" s="5" t="s">
        <v>4</v>
      </c>
      <c r="D78" s="4" t="s">
        <v>5</v>
      </c>
      <c r="E78" s="1"/>
      <c r="F78" s="1"/>
      <c r="G78" s="1"/>
      <c r="H78" s="4" t="s">
        <v>2</v>
      </c>
      <c r="I78" s="4" t="s">
        <v>3</v>
      </c>
      <c r="J78" s="5" t="s">
        <v>4</v>
      </c>
      <c r="K78" s="4" t="s">
        <v>5</v>
      </c>
      <c r="L78" s="1"/>
      <c r="M78" s="1"/>
      <c r="R78" s="1"/>
      <c r="S78" s="1"/>
      <c r="X78" s="1"/>
      <c r="Y78" s="1"/>
      <c r="Z78" s="1"/>
    </row>
    <row r="79" spans="1:26" ht="9.75" customHeight="1">
      <c r="A79" s="13" t="s">
        <v>140</v>
      </c>
      <c r="B79" s="4" t="s">
        <v>10</v>
      </c>
      <c r="C79" s="7">
        <v>2.5257907200000003</v>
      </c>
      <c r="D79" s="4">
        <v>50</v>
      </c>
      <c r="E79" s="1"/>
      <c r="F79" s="1"/>
      <c r="G79" s="1"/>
      <c r="H79" s="6" t="s">
        <v>141</v>
      </c>
      <c r="I79" s="4" t="s">
        <v>10</v>
      </c>
      <c r="J79" s="14">
        <v>11.863323288000004</v>
      </c>
      <c r="K79" s="4">
        <v>50</v>
      </c>
      <c r="L79" s="1"/>
      <c r="M79" s="1"/>
      <c r="R79" s="1"/>
      <c r="S79" s="1"/>
      <c r="X79" s="1"/>
      <c r="Y79" s="1"/>
      <c r="Z79" s="1"/>
    </row>
    <row r="80" spans="1:26" ht="9.75" customHeight="1">
      <c r="A80" s="13" t="s">
        <v>142</v>
      </c>
      <c r="B80" s="4" t="s">
        <v>13</v>
      </c>
      <c r="C80" s="7">
        <v>4.0856908799999996</v>
      </c>
      <c r="D80" s="4">
        <v>25</v>
      </c>
      <c r="E80" s="1"/>
      <c r="F80" s="1"/>
      <c r="G80" s="1"/>
      <c r="H80" s="6" t="s">
        <v>143</v>
      </c>
      <c r="I80" s="4" t="s">
        <v>13</v>
      </c>
      <c r="J80" s="14">
        <v>19.189979351999998</v>
      </c>
      <c r="K80" s="4">
        <v>25</v>
      </c>
      <c r="L80" s="1"/>
      <c r="M80" s="1"/>
      <c r="R80" s="1"/>
      <c r="S80" s="1"/>
      <c r="X80" s="1"/>
      <c r="Y80" s="1"/>
      <c r="Z80" s="1"/>
    </row>
    <row r="81" spans="1:26" ht="9.75" customHeight="1">
      <c r="A81" s="6" t="s">
        <v>144</v>
      </c>
      <c r="B81" s="4" t="s">
        <v>16</v>
      </c>
      <c r="C81" s="7">
        <v>6.0948479999999998</v>
      </c>
      <c r="D81" s="4">
        <v>50</v>
      </c>
      <c r="E81" s="1"/>
      <c r="F81" s="1"/>
      <c r="G81" s="1"/>
      <c r="H81" s="6" t="s">
        <v>146</v>
      </c>
      <c r="I81" s="4" t="s">
        <v>16</v>
      </c>
      <c r="J81" s="14">
        <v>28.626739200000003</v>
      </c>
      <c r="K81" s="4">
        <v>20</v>
      </c>
      <c r="L81" s="1"/>
      <c r="M81" s="1"/>
      <c r="R81" s="1"/>
      <c r="S81" s="1"/>
      <c r="X81" s="1"/>
      <c r="Y81" s="1"/>
      <c r="Z81" s="1"/>
    </row>
    <row r="82" spans="1:26" ht="9.75" customHeight="1">
      <c r="A82" s="6" t="s">
        <v>147</v>
      </c>
      <c r="B82" s="4" t="s">
        <v>19</v>
      </c>
      <c r="C82" s="7">
        <v>8.9603788799999986</v>
      </c>
      <c r="D82" s="4">
        <v>25</v>
      </c>
      <c r="E82" s="1"/>
      <c r="F82" s="1"/>
      <c r="G82" s="1"/>
      <c r="H82" s="6" t="s">
        <v>148</v>
      </c>
      <c r="I82" s="4" t="s">
        <v>19</v>
      </c>
      <c r="J82" s="14">
        <v>42.085779551999998</v>
      </c>
      <c r="K82" s="4">
        <v>10</v>
      </c>
      <c r="L82" s="1"/>
      <c r="M82" s="1"/>
      <c r="R82" s="1"/>
      <c r="S82" s="1"/>
      <c r="X82" s="1"/>
      <c r="Y82" s="1"/>
      <c r="Z82" s="1"/>
    </row>
    <row r="83" spans="1:26" ht="9.75" customHeight="1">
      <c r="A83" s="6" t="s">
        <v>149</v>
      </c>
      <c r="B83" s="4" t="s">
        <v>22</v>
      </c>
      <c r="C83" s="7">
        <v>10.903111679999999</v>
      </c>
      <c r="D83" s="4">
        <v>25</v>
      </c>
      <c r="E83" s="1"/>
      <c r="F83" s="1"/>
      <c r="G83" s="1"/>
      <c r="H83" s="6" t="s">
        <v>150</v>
      </c>
      <c r="I83" s="4" t="s">
        <v>22</v>
      </c>
      <c r="J83" s="14">
        <v>51.210552671999992</v>
      </c>
      <c r="K83" s="4">
        <v>10</v>
      </c>
      <c r="L83" s="1"/>
      <c r="M83" s="1"/>
      <c r="R83" s="1"/>
      <c r="S83" s="1"/>
      <c r="X83" s="1"/>
      <c r="Y83" s="1"/>
      <c r="Z83" s="1"/>
    </row>
    <row r="84" spans="1:26" ht="9.75" customHeight="1">
      <c r="A84" s="6" t="s">
        <v>151</v>
      </c>
      <c r="B84" s="4" t="s">
        <v>25</v>
      </c>
      <c r="C84" s="7">
        <v>10.903111679999999</v>
      </c>
      <c r="D84" s="4">
        <v>25</v>
      </c>
      <c r="E84" s="1"/>
      <c r="F84" s="1"/>
      <c r="G84" s="1"/>
      <c r="H84" s="6" t="s">
        <v>152</v>
      </c>
      <c r="I84" s="4" t="s">
        <v>25</v>
      </c>
      <c r="J84" s="14">
        <v>51.210552671999992</v>
      </c>
      <c r="K84" s="4">
        <v>10</v>
      </c>
      <c r="L84" s="1"/>
      <c r="M84" s="1"/>
      <c r="R84" s="1"/>
      <c r="S84" s="1"/>
      <c r="X84" s="1"/>
      <c r="Y84" s="1"/>
      <c r="Z84" s="1"/>
    </row>
    <row r="85" spans="1:26" ht="9.75" customHeight="1">
      <c r="A85" s="6" t="s">
        <v>153</v>
      </c>
      <c r="B85" s="4" t="s">
        <v>28</v>
      </c>
      <c r="C85" s="7">
        <v>28.69</v>
      </c>
      <c r="D85" s="4">
        <v>10</v>
      </c>
      <c r="E85" s="1"/>
      <c r="F85" s="1"/>
      <c r="G85" s="1"/>
      <c r="H85" s="6" t="s">
        <v>154</v>
      </c>
      <c r="I85" s="4" t="s">
        <v>28</v>
      </c>
      <c r="J85" s="14">
        <v>86.07</v>
      </c>
      <c r="K85" s="4">
        <v>10</v>
      </c>
      <c r="L85" s="1"/>
      <c r="M85" s="1"/>
      <c r="R85" s="1"/>
      <c r="S85" s="1"/>
      <c r="X85" s="1"/>
      <c r="Y85" s="1"/>
      <c r="Z85" s="1"/>
    </row>
    <row r="86" spans="1:26" ht="9.75" customHeight="1">
      <c r="A86" s="6" t="s">
        <v>155</v>
      </c>
      <c r="B86" s="4" t="s">
        <v>31</v>
      </c>
      <c r="C86" s="7">
        <v>25.2858816</v>
      </c>
      <c r="D86" s="4">
        <v>10</v>
      </c>
      <c r="E86" s="1"/>
      <c r="F86" s="1"/>
      <c r="G86" s="1"/>
      <c r="H86" s="6" t="s">
        <v>156</v>
      </c>
      <c r="I86" s="4" t="s">
        <v>31</v>
      </c>
      <c r="J86" s="14">
        <v>108.81</v>
      </c>
      <c r="K86" s="4">
        <v>5</v>
      </c>
      <c r="L86" s="1"/>
      <c r="M86" s="1"/>
      <c r="R86" s="1"/>
      <c r="S86" s="1"/>
      <c r="X86" s="1"/>
      <c r="Y86" s="1"/>
      <c r="Z86" s="1"/>
    </row>
    <row r="87" spans="1:26" ht="9.75" customHeight="1">
      <c r="A87" s="6" t="s">
        <v>157</v>
      </c>
      <c r="B87" s="4" t="s">
        <v>34</v>
      </c>
      <c r="C87" s="7">
        <v>35.835999999999999</v>
      </c>
      <c r="D87" s="4">
        <v>10</v>
      </c>
      <c r="E87" s="1"/>
      <c r="F87" s="1"/>
      <c r="G87" s="1"/>
      <c r="H87" s="6" t="s">
        <v>158</v>
      </c>
      <c r="I87" s="4" t="s">
        <v>34</v>
      </c>
      <c r="J87" s="14">
        <v>154.21</v>
      </c>
      <c r="K87" s="4">
        <v>5</v>
      </c>
      <c r="L87" s="1"/>
      <c r="M87" s="1"/>
      <c r="R87" s="1"/>
      <c r="S87" s="1"/>
      <c r="X87" s="1"/>
      <c r="Y87" s="1"/>
      <c r="Z87" s="1"/>
    </row>
    <row r="88" spans="1:26" ht="9.75" customHeight="1">
      <c r="A88" s="6" t="s">
        <v>159</v>
      </c>
      <c r="B88" s="4" t="s">
        <v>37</v>
      </c>
      <c r="C88" s="7">
        <v>49.6</v>
      </c>
      <c r="D88" s="4">
        <v>5</v>
      </c>
      <c r="E88" s="1"/>
      <c r="F88" s="1"/>
      <c r="G88" s="1"/>
      <c r="H88" s="6" t="s">
        <v>160</v>
      </c>
      <c r="I88" s="4" t="s">
        <v>39</v>
      </c>
      <c r="J88" s="14">
        <v>213.44</v>
      </c>
      <c r="K88" s="4">
        <v>3</v>
      </c>
      <c r="L88" s="1"/>
      <c r="M88" s="1"/>
      <c r="R88" s="1"/>
      <c r="S88" s="1"/>
      <c r="X88" s="1"/>
      <c r="Y88" s="1"/>
      <c r="Z88" s="1"/>
    </row>
    <row r="89" spans="1:26" ht="9.75" customHeight="1">
      <c r="A89" s="6" t="s">
        <v>161</v>
      </c>
      <c r="B89" s="4" t="s">
        <v>41</v>
      </c>
      <c r="C89" s="7">
        <v>65.595999999999989</v>
      </c>
      <c r="D89" s="4">
        <v>5</v>
      </c>
      <c r="E89" s="1"/>
      <c r="F89" s="1"/>
      <c r="G89" s="1"/>
      <c r="H89" s="6" t="s">
        <v>162</v>
      </c>
      <c r="I89" s="4" t="s">
        <v>41</v>
      </c>
      <c r="J89" s="14">
        <v>282.27</v>
      </c>
      <c r="K89" s="4">
        <v>3</v>
      </c>
      <c r="L89" s="1"/>
      <c r="M89" s="1"/>
      <c r="R89" s="1"/>
      <c r="S89" s="1"/>
      <c r="T89" s="1"/>
      <c r="U89" s="1"/>
      <c r="V89" s="1"/>
      <c r="W89" s="2"/>
      <c r="X89" s="1"/>
      <c r="Y89" s="1"/>
      <c r="Z89" s="1"/>
    </row>
    <row r="90" spans="1:26" ht="9.75" customHeight="1">
      <c r="A90" s="6" t="s">
        <v>163</v>
      </c>
      <c r="B90" s="4" t="s">
        <v>44</v>
      </c>
      <c r="C90" s="7">
        <v>83.824000000000012</v>
      </c>
      <c r="D90" s="4">
        <v>5</v>
      </c>
      <c r="E90" s="1"/>
      <c r="F90" s="1"/>
      <c r="G90" s="1"/>
      <c r="H90" s="6" t="s">
        <v>164</v>
      </c>
      <c r="I90" s="4" t="s">
        <v>44</v>
      </c>
      <c r="J90" s="14">
        <v>360.71</v>
      </c>
      <c r="K90" s="4">
        <v>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>
      <c r="A91" s="6" t="s">
        <v>165</v>
      </c>
      <c r="B91" s="4" t="s">
        <v>47</v>
      </c>
      <c r="C91" s="7">
        <v>104.28399999999999</v>
      </c>
      <c r="D91" s="4">
        <v>3</v>
      </c>
      <c r="E91" s="1"/>
      <c r="F91" s="1"/>
      <c r="G91" s="1"/>
      <c r="H91" s="6" t="s">
        <v>166</v>
      </c>
      <c r="I91" s="4" t="s">
        <v>47</v>
      </c>
      <c r="J91" s="14">
        <v>448.75</v>
      </c>
      <c r="K91" s="4">
        <v>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>
      <c r="A92" s="6" t="s">
        <v>167</v>
      </c>
      <c r="B92" s="4" t="s">
        <v>50</v>
      </c>
      <c r="C92" s="7">
        <v>151.9</v>
      </c>
      <c r="D92" s="4">
        <v>3</v>
      </c>
      <c r="E92" s="1"/>
      <c r="F92" s="1"/>
      <c r="G92" s="1"/>
      <c r="H92" s="6" t="s">
        <v>168</v>
      </c>
      <c r="I92" s="4" t="s">
        <v>50</v>
      </c>
      <c r="J92" s="14">
        <v>653.66</v>
      </c>
      <c r="K92" s="4">
        <v>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>
      <c r="E93" s="8"/>
      <c r="F93" s="1"/>
      <c r="G93" s="1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>
      <c r="A94" s="58" t="s">
        <v>169</v>
      </c>
      <c r="B94" s="59"/>
      <c r="C94" s="59"/>
      <c r="D94" s="59"/>
      <c r="E94" s="8"/>
      <c r="F94" s="1"/>
      <c r="G94" s="1"/>
      <c r="H94" s="58" t="s">
        <v>170</v>
      </c>
      <c r="I94" s="59"/>
      <c r="J94" s="59"/>
      <c r="K94" s="59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>
      <c r="A95" s="59"/>
      <c r="B95" s="59"/>
      <c r="C95" s="59"/>
      <c r="D95" s="59"/>
      <c r="E95" s="8"/>
      <c r="F95" s="1"/>
      <c r="G95" s="1"/>
      <c r="H95" s="56"/>
      <c r="I95" s="56"/>
      <c r="J95" s="56"/>
      <c r="K95" s="56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>
      <c r="A96" s="4" t="s">
        <v>2</v>
      </c>
      <c r="B96" s="4" t="s">
        <v>3</v>
      </c>
      <c r="C96" s="5" t="s">
        <v>171</v>
      </c>
      <c r="D96" s="15"/>
      <c r="E96" s="8"/>
      <c r="F96" s="1"/>
      <c r="G96" s="1"/>
      <c r="H96" s="4" t="s">
        <v>2</v>
      </c>
      <c r="I96" s="4" t="s">
        <v>3</v>
      </c>
      <c r="J96" s="5" t="s">
        <v>171</v>
      </c>
      <c r="K96" s="2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>
      <c r="A97" s="6" t="s">
        <v>172</v>
      </c>
      <c r="B97" s="4" t="s">
        <v>10</v>
      </c>
      <c r="C97" s="7" t="s">
        <v>173</v>
      </c>
      <c r="D97" s="16"/>
      <c r="E97" s="8"/>
      <c r="F97" s="1"/>
      <c r="G97" s="1"/>
      <c r="H97" s="6" t="s">
        <v>174</v>
      </c>
      <c r="I97" s="4" t="s">
        <v>10</v>
      </c>
      <c r="J97" s="14" t="s">
        <v>175</v>
      </c>
      <c r="K97" s="2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>
      <c r="A98" s="6" t="s">
        <v>176</v>
      </c>
      <c r="B98" s="4" t="s">
        <v>13</v>
      </c>
      <c r="C98" s="7" t="s">
        <v>177</v>
      </c>
      <c r="D98" s="16"/>
      <c r="E98" s="8"/>
      <c r="F98" s="1"/>
      <c r="G98" s="1"/>
      <c r="H98" s="6" t="s">
        <v>178</v>
      </c>
      <c r="I98" s="4" t="s">
        <v>13</v>
      </c>
      <c r="J98" s="14" t="s">
        <v>179</v>
      </c>
      <c r="K98" s="2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>
      <c r="A99" s="6" t="s">
        <v>180</v>
      </c>
      <c r="B99" s="4" t="s">
        <v>16</v>
      </c>
      <c r="C99" s="7" t="s">
        <v>181</v>
      </c>
      <c r="D99" s="16"/>
      <c r="E99" s="8"/>
      <c r="F99" s="1"/>
      <c r="G99" s="1"/>
      <c r="H99" s="6" t="s">
        <v>182</v>
      </c>
      <c r="I99" s="4" t="s">
        <v>16</v>
      </c>
      <c r="J99" s="14" t="s">
        <v>183</v>
      </c>
      <c r="K99" s="2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>
      <c r="A100" s="6" t="s">
        <v>184</v>
      </c>
      <c r="B100" s="4" t="s">
        <v>185</v>
      </c>
      <c r="C100" s="7" t="s">
        <v>186</v>
      </c>
      <c r="D100" s="16"/>
      <c r="E100" s="8"/>
      <c r="F100" s="1"/>
      <c r="G100" s="1"/>
      <c r="H100" s="6" t="s">
        <v>187</v>
      </c>
      <c r="I100" s="4" t="s">
        <v>188</v>
      </c>
      <c r="J100" s="14" t="s">
        <v>189</v>
      </c>
      <c r="K100" s="2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>
      <c r="A101" s="6" t="s">
        <v>190</v>
      </c>
      <c r="B101" s="4" t="s">
        <v>25</v>
      </c>
      <c r="C101" s="7" t="s">
        <v>186</v>
      </c>
      <c r="D101" s="16"/>
      <c r="E101" s="8"/>
      <c r="F101" s="1"/>
      <c r="G101" s="1"/>
      <c r="H101" s="6" t="s">
        <v>191</v>
      </c>
      <c r="I101" s="4" t="s">
        <v>31</v>
      </c>
      <c r="J101" s="14" t="s">
        <v>192</v>
      </c>
      <c r="K101" s="2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>
      <c r="A102" s="6" t="s">
        <v>193</v>
      </c>
      <c r="B102" s="4" t="s">
        <v>31</v>
      </c>
      <c r="C102" s="7" t="s">
        <v>194</v>
      </c>
      <c r="D102" s="16"/>
      <c r="E102" s="8"/>
      <c r="F102" s="1"/>
      <c r="G102" s="1"/>
      <c r="H102" s="6" t="s">
        <v>195</v>
      </c>
      <c r="I102" s="4" t="s">
        <v>34</v>
      </c>
      <c r="J102" s="14" t="s">
        <v>196</v>
      </c>
      <c r="K102" s="2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>
      <c r="A103" s="6" t="s">
        <v>197</v>
      </c>
      <c r="B103" s="4" t="s">
        <v>34</v>
      </c>
      <c r="C103" s="7" t="s">
        <v>198</v>
      </c>
      <c r="D103" s="16"/>
      <c r="E103" s="8"/>
      <c r="F103" s="1"/>
      <c r="G103" s="1"/>
      <c r="H103" s="6" t="s">
        <v>199</v>
      </c>
      <c r="I103" s="4" t="s">
        <v>37</v>
      </c>
      <c r="J103" s="14" t="s">
        <v>200</v>
      </c>
      <c r="K103" s="2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>
      <c r="A104" s="6" t="s">
        <v>201</v>
      </c>
      <c r="B104" s="4" t="s">
        <v>37</v>
      </c>
      <c r="C104" s="7" t="s">
        <v>202</v>
      </c>
      <c r="D104" s="16"/>
      <c r="E104" s="8"/>
      <c r="F104" s="1"/>
      <c r="G104" s="1"/>
      <c r="H104" s="6" t="s">
        <v>203</v>
      </c>
      <c r="I104" s="4" t="s">
        <v>41</v>
      </c>
      <c r="J104" s="14" t="s">
        <v>198</v>
      </c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>
      <c r="A105" s="6" t="s">
        <v>204</v>
      </c>
      <c r="B105" s="4" t="s">
        <v>41</v>
      </c>
      <c r="C105" s="7" t="s">
        <v>205</v>
      </c>
      <c r="D105" s="16"/>
      <c r="E105" s="1"/>
      <c r="F105" s="1"/>
      <c r="G105" s="1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>
      <c r="A106" s="1"/>
      <c r="B106" s="1"/>
      <c r="C106" s="2"/>
      <c r="D106" s="1"/>
      <c r="E106" s="1"/>
      <c r="F106" s="1"/>
      <c r="G106" s="1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>
      <c r="A107" s="58" t="s">
        <v>206</v>
      </c>
      <c r="B107" s="59"/>
      <c r="C107" s="59"/>
      <c r="D107" s="59"/>
      <c r="E107" s="1"/>
      <c r="F107" s="1"/>
      <c r="G107" s="1"/>
      <c r="H107" s="66" t="s">
        <v>207</v>
      </c>
      <c r="I107" s="59"/>
      <c r="J107" s="59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>
      <c r="A108" s="59"/>
      <c r="B108" s="59"/>
      <c r="C108" s="59"/>
      <c r="D108" s="59"/>
      <c r="E108" s="1"/>
      <c r="F108" s="1"/>
      <c r="G108" s="1"/>
      <c r="H108" s="56"/>
      <c r="I108" s="56"/>
      <c r="J108" s="5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>
      <c r="A109" s="4" t="s">
        <v>2</v>
      </c>
      <c r="B109" s="4" t="s">
        <v>3</v>
      </c>
      <c r="C109" s="5" t="s">
        <v>208</v>
      </c>
      <c r="D109" s="15"/>
      <c r="E109" s="1"/>
      <c r="F109" s="1"/>
      <c r="G109" s="1"/>
      <c r="H109" s="4" t="s">
        <v>2</v>
      </c>
      <c r="I109" s="4" t="s">
        <v>3</v>
      </c>
      <c r="J109" s="5" t="s">
        <v>208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>
      <c r="A110" s="6" t="s">
        <v>209</v>
      </c>
      <c r="B110" s="18" t="s">
        <v>210</v>
      </c>
      <c r="C110" s="14" t="s">
        <v>211</v>
      </c>
      <c r="D110" s="16"/>
      <c r="E110" s="1"/>
      <c r="F110" s="1"/>
      <c r="G110" s="1"/>
      <c r="H110" s="4">
        <v>996</v>
      </c>
      <c r="I110" s="19" t="s">
        <v>212</v>
      </c>
      <c r="J110" s="14">
        <v>1.1283860480000001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>
      <c r="A111" s="6" t="s">
        <v>213</v>
      </c>
      <c r="B111" s="18" t="s">
        <v>214</v>
      </c>
      <c r="C111" s="14" t="s">
        <v>215</v>
      </c>
      <c r="D111" s="16"/>
      <c r="E111" s="1"/>
      <c r="F111" s="1"/>
      <c r="G111" s="1"/>
      <c r="H111" s="6" t="s">
        <v>216</v>
      </c>
      <c r="I111" s="19" t="s">
        <v>217</v>
      </c>
      <c r="J111" s="14">
        <v>1.212579072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>
      <c r="A112" s="6" t="s">
        <v>218</v>
      </c>
      <c r="B112" s="18" t="s">
        <v>219</v>
      </c>
      <c r="C112" s="14" t="s">
        <v>220</v>
      </c>
      <c r="D112" s="16"/>
      <c r="E112" s="1"/>
      <c r="F112" s="1"/>
      <c r="G112" s="1"/>
      <c r="H112" s="6" t="s">
        <v>221</v>
      </c>
      <c r="I112" s="19" t="s">
        <v>222</v>
      </c>
      <c r="J112" s="14">
        <v>1.2323793920000001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>
      <c r="A113" s="6" t="s">
        <v>223</v>
      </c>
      <c r="B113" s="18" t="s">
        <v>224</v>
      </c>
      <c r="C113" s="14" t="s">
        <v>225</v>
      </c>
      <c r="D113" s="16"/>
      <c r="E113" s="1"/>
      <c r="F113" s="1"/>
      <c r="G113" s="1"/>
      <c r="H113" s="6" t="s">
        <v>226</v>
      </c>
      <c r="I113" s="19" t="s">
        <v>227</v>
      </c>
      <c r="J113" s="14">
        <v>1.3685690880000001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>
      <c r="A114" s="6" t="s">
        <v>228</v>
      </c>
      <c r="B114" s="18" t="s">
        <v>229</v>
      </c>
      <c r="C114" s="14" t="s">
        <v>230</v>
      </c>
      <c r="D114" s="16"/>
      <c r="E114" s="1"/>
      <c r="F114" s="1"/>
      <c r="G114" s="1"/>
      <c r="H114" s="6" t="s">
        <v>231</v>
      </c>
      <c r="I114" s="19" t="s">
        <v>232</v>
      </c>
      <c r="J114" s="14">
        <v>1.3663232000000001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>
      <c r="A115" s="6" t="s">
        <v>233</v>
      </c>
      <c r="B115" s="18" t="s">
        <v>234</v>
      </c>
      <c r="C115" s="14" t="s">
        <v>235</v>
      </c>
      <c r="D115" s="16"/>
      <c r="E115" s="1"/>
      <c r="F115" s="1"/>
      <c r="G115" s="1"/>
      <c r="H115" s="6" t="s">
        <v>236</v>
      </c>
      <c r="I115" s="19" t="s">
        <v>237</v>
      </c>
      <c r="J115" s="14">
        <v>1.5694848000000001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>
      <c r="A116" s="6" t="s">
        <v>238</v>
      </c>
      <c r="B116" s="18" t="s">
        <v>239</v>
      </c>
      <c r="C116" s="14" t="s">
        <v>240</v>
      </c>
      <c r="D116" s="16"/>
      <c r="E116" s="1"/>
      <c r="F116" s="1"/>
      <c r="G116" s="1"/>
      <c r="H116" s="6" t="s">
        <v>241</v>
      </c>
      <c r="I116" s="19" t="s">
        <v>242</v>
      </c>
      <c r="J116" s="14">
        <v>3.7440568320000001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>
      <c r="A117" s="6" t="s">
        <v>243</v>
      </c>
      <c r="B117" s="18" t="s">
        <v>244</v>
      </c>
      <c r="C117" s="14" t="s">
        <v>240</v>
      </c>
      <c r="D117" s="16"/>
      <c r="E117" s="1"/>
      <c r="F117" s="1"/>
      <c r="G117" s="1"/>
      <c r="H117" s="6" t="s">
        <v>245</v>
      </c>
      <c r="I117" s="19" t="s">
        <v>246</v>
      </c>
      <c r="J117" s="14">
        <v>4.0427361280000005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>
      <c r="A118" s="6" t="s">
        <v>247</v>
      </c>
      <c r="B118" s="18" t="s">
        <v>248</v>
      </c>
      <c r="C118" s="14" t="s">
        <v>249</v>
      </c>
      <c r="D118" s="16"/>
      <c r="E118" s="1"/>
      <c r="F118" s="1"/>
      <c r="G118" s="1"/>
      <c r="H118" s="6" t="s">
        <v>250</v>
      </c>
      <c r="I118" s="19" t="s">
        <v>251</v>
      </c>
      <c r="J118" s="14">
        <v>4.0354667520000005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>
      <c r="A119" s="6" t="s">
        <v>252</v>
      </c>
      <c r="B119" s="18" t="s">
        <v>253</v>
      </c>
      <c r="C119" s="14" t="s">
        <v>175</v>
      </c>
      <c r="D119" s="16"/>
      <c r="E119" s="1"/>
      <c r="F119" s="1"/>
      <c r="G119" s="1"/>
      <c r="H119" s="6" t="s">
        <v>254</v>
      </c>
      <c r="I119" s="19" t="s">
        <v>255</v>
      </c>
      <c r="J119" s="14">
        <v>4.398903808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>
      <c r="A120" s="1"/>
      <c r="B120" s="1"/>
      <c r="C120" s="2"/>
      <c r="D120" s="1"/>
      <c r="E120" s="1"/>
      <c r="F120" s="1"/>
      <c r="G120" s="1"/>
      <c r="H120" s="67" t="s">
        <v>256</v>
      </c>
      <c r="I120" s="53"/>
      <c r="J120" s="5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>
      <c r="A121" s="58" t="s">
        <v>257</v>
      </c>
      <c r="B121" s="59"/>
      <c r="C121" s="59"/>
      <c r="D121" s="59"/>
      <c r="E121" s="1"/>
      <c r="F121" s="1"/>
      <c r="G121" s="1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>
      <c r="A122" s="56"/>
      <c r="B122" s="56"/>
      <c r="C122" s="56"/>
      <c r="D122" s="56"/>
      <c r="E122" s="1"/>
      <c r="F122" s="1"/>
      <c r="G122" s="1"/>
      <c r="H122" s="6" t="s">
        <v>258</v>
      </c>
      <c r="I122" s="19" t="s">
        <v>242</v>
      </c>
      <c r="J122" s="20" t="s">
        <v>259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>
      <c r="A123" s="4" t="s">
        <v>2</v>
      </c>
      <c r="B123" s="4" t="s">
        <v>3</v>
      </c>
      <c r="C123" s="5" t="s">
        <v>171</v>
      </c>
      <c r="D123" s="21" t="s">
        <v>260</v>
      </c>
      <c r="E123" s="1"/>
      <c r="F123" s="1"/>
      <c r="G123" s="1"/>
      <c r="H123" s="6" t="s">
        <v>261</v>
      </c>
      <c r="I123" s="19" t="s">
        <v>246</v>
      </c>
      <c r="J123" s="20" t="s">
        <v>262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>
      <c r="A124" s="6" t="s">
        <v>263</v>
      </c>
      <c r="B124" s="4" t="s">
        <v>7</v>
      </c>
      <c r="C124" s="7" t="s">
        <v>264</v>
      </c>
      <c r="D124" s="4">
        <v>10</v>
      </c>
      <c r="E124" s="1"/>
      <c r="F124" s="1"/>
      <c r="G124" s="1"/>
      <c r="H124" s="6" t="s">
        <v>265</v>
      </c>
      <c r="I124" s="19" t="s">
        <v>251</v>
      </c>
      <c r="J124" s="20" t="s">
        <v>266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>
      <c r="A125" s="6" t="s">
        <v>267</v>
      </c>
      <c r="B125" s="4" t="s">
        <v>10</v>
      </c>
      <c r="C125" s="7" t="s">
        <v>268</v>
      </c>
      <c r="D125" s="4">
        <v>10</v>
      </c>
      <c r="E125" s="1"/>
      <c r="F125" s="1"/>
      <c r="G125" s="1"/>
      <c r="H125" s="6" t="s">
        <v>265</v>
      </c>
      <c r="I125" s="19" t="s">
        <v>255</v>
      </c>
      <c r="J125" s="20" t="s">
        <v>269</v>
      </c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>
      <c r="A126" s="6" t="s">
        <v>270</v>
      </c>
      <c r="B126" s="4" t="s">
        <v>13</v>
      </c>
      <c r="C126" s="7" t="s">
        <v>271</v>
      </c>
      <c r="D126" s="4">
        <v>10</v>
      </c>
      <c r="E126" s="1"/>
      <c r="F126" s="1"/>
      <c r="G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>
      <c r="A127" s="6" t="s">
        <v>272</v>
      </c>
      <c r="B127" s="4" t="s">
        <v>16</v>
      </c>
      <c r="C127" s="7" t="s">
        <v>273</v>
      </c>
      <c r="D127" s="4">
        <v>5</v>
      </c>
      <c r="E127" s="1"/>
      <c r="F127" s="1"/>
      <c r="G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>
      <c r="A128" s="6" t="s">
        <v>274</v>
      </c>
      <c r="B128" s="4" t="s">
        <v>19</v>
      </c>
      <c r="C128" s="7" t="s">
        <v>275</v>
      </c>
      <c r="D128" s="4">
        <v>5</v>
      </c>
      <c r="E128" s="1"/>
      <c r="F128" s="1"/>
      <c r="G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>
      <c r="A129" s="6" t="s">
        <v>276</v>
      </c>
      <c r="B129" s="4" t="s">
        <v>185</v>
      </c>
      <c r="C129" s="7" t="s">
        <v>277</v>
      </c>
      <c r="D129" s="4">
        <v>2.5</v>
      </c>
      <c r="E129" s="1"/>
      <c r="F129" s="1"/>
      <c r="G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>
      <c r="A130" s="6" t="s">
        <v>278</v>
      </c>
      <c r="B130" s="4" t="s">
        <v>25</v>
      </c>
      <c r="C130" s="7" t="s">
        <v>277</v>
      </c>
      <c r="D130" s="4">
        <v>2.5</v>
      </c>
      <c r="E130" s="1"/>
      <c r="F130" s="1"/>
      <c r="G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>
      <c r="A131" s="6" t="s">
        <v>279</v>
      </c>
      <c r="B131" s="4" t="s">
        <v>28</v>
      </c>
      <c r="C131" s="7" t="s">
        <v>280</v>
      </c>
      <c r="D131" s="4">
        <v>2</v>
      </c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>
      <c r="A132" s="6" t="s">
        <v>281</v>
      </c>
      <c r="B132" s="4" t="s">
        <v>31</v>
      </c>
      <c r="C132" s="7" t="s">
        <v>282</v>
      </c>
      <c r="D132" s="4">
        <v>1</v>
      </c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>
      <c r="A133" s="6" t="s">
        <v>283</v>
      </c>
      <c r="B133" s="4" t="s">
        <v>34</v>
      </c>
      <c r="C133" s="7" t="s">
        <v>284</v>
      </c>
      <c r="D133" s="4">
        <v>1</v>
      </c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>
      <c r="A134" s="6" t="s">
        <v>285</v>
      </c>
      <c r="B134" s="4" t="s">
        <v>37</v>
      </c>
      <c r="C134" s="7" t="s">
        <v>286</v>
      </c>
      <c r="D134" s="4">
        <v>0.5</v>
      </c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>
      <c r="A135" s="6" t="s">
        <v>287</v>
      </c>
      <c r="B135" s="4" t="s">
        <v>41</v>
      </c>
      <c r="C135" s="7" t="s">
        <v>288</v>
      </c>
      <c r="D135" s="4">
        <v>0.25</v>
      </c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>
      <c r="A136" s="6" t="s">
        <v>289</v>
      </c>
      <c r="B136" s="4" t="s">
        <v>44</v>
      </c>
      <c r="C136" s="7" t="s">
        <v>290</v>
      </c>
      <c r="D136" s="16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>
      <c r="A137" s="6" t="s">
        <v>291</v>
      </c>
      <c r="B137" s="4" t="s">
        <v>47</v>
      </c>
      <c r="C137" s="7" t="s">
        <v>292</v>
      </c>
      <c r="D137" s="16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>
      <c r="A138" s="6" t="s">
        <v>293</v>
      </c>
      <c r="B138" s="4" t="s">
        <v>50</v>
      </c>
      <c r="C138" s="7" t="s">
        <v>294</v>
      </c>
      <c r="D138" s="1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7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>
      <c r="A140" s="58" t="s">
        <v>295</v>
      </c>
      <c r="B140" s="59"/>
      <c r="C140" s="59"/>
      <c r="D140" s="59"/>
      <c r="E140" s="1"/>
      <c r="F140" s="1"/>
      <c r="G140" s="1"/>
      <c r="H140" s="58" t="s">
        <v>296</v>
      </c>
      <c r="I140" s="59"/>
      <c r="J140" s="59"/>
      <c r="K140" s="5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>
      <c r="A141" s="56"/>
      <c r="B141" s="56"/>
      <c r="C141" s="56"/>
      <c r="D141" s="56"/>
      <c r="E141" s="1"/>
      <c r="F141" s="1"/>
      <c r="G141" s="1"/>
      <c r="H141" s="56"/>
      <c r="I141" s="56"/>
      <c r="J141" s="56"/>
      <c r="K141" s="5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>
      <c r="A142" s="4" t="s">
        <v>2</v>
      </c>
      <c r="B142" s="4" t="s">
        <v>3</v>
      </c>
      <c r="C142" s="5" t="s">
        <v>171</v>
      </c>
      <c r="D142" s="21" t="s">
        <v>260</v>
      </c>
      <c r="E142" s="1"/>
      <c r="F142" s="1"/>
      <c r="G142" s="1"/>
      <c r="H142" s="4" t="s">
        <v>2</v>
      </c>
      <c r="I142" s="4" t="s">
        <v>3</v>
      </c>
      <c r="J142" s="5" t="s">
        <v>171</v>
      </c>
      <c r="K142" s="21" t="s">
        <v>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>
      <c r="A143" s="6" t="s">
        <v>297</v>
      </c>
      <c r="B143" s="4" t="s">
        <v>7</v>
      </c>
      <c r="C143" s="14" t="s">
        <v>298</v>
      </c>
      <c r="D143" s="4">
        <v>10</v>
      </c>
      <c r="E143" s="1"/>
      <c r="F143" s="1"/>
      <c r="G143" s="1"/>
      <c r="H143" s="6" t="s">
        <v>299</v>
      </c>
      <c r="I143" s="4" t="s">
        <v>7</v>
      </c>
      <c r="J143" s="14" t="s">
        <v>300</v>
      </c>
      <c r="K143" s="4">
        <v>10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>
      <c r="A144" s="6" t="s">
        <v>301</v>
      </c>
      <c r="B144" s="4" t="s">
        <v>10</v>
      </c>
      <c r="C144" s="14" t="s">
        <v>302</v>
      </c>
      <c r="D144" s="4">
        <v>10</v>
      </c>
      <c r="E144" s="1"/>
      <c r="F144" s="1"/>
      <c r="G144" s="1"/>
      <c r="H144" s="6" t="s">
        <v>303</v>
      </c>
      <c r="I144" s="4" t="s">
        <v>10</v>
      </c>
      <c r="J144" s="14" t="s">
        <v>304</v>
      </c>
      <c r="K144" s="4">
        <v>10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>
      <c r="A145" s="6" t="s">
        <v>305</v>
      </c>
      <c r="B145" s="4" t="s">
        <v>13</v>
      </c>
      <c r="C145" s="14" t="s">
        <v>306</v>
      </c>
      <c r="D145" s="4">
        <v>10</v>
      </c>
      <c r="E145" s="1"/>
      <c r="F145" s="1"/>
      <c r="G145" s="1"/>
      <c r="H145" s="6" t="s">
        <v>307</v>
      </c>
      <c r="I145" s="4" t="s">
        <v>13</v>
      </c>
      <c r="J145" s="14" t="s">
        <v>308</v>
      </c>
      <c r="K145" s="4">
        <v>10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>
      <c r="A146" s="6" t="s">
        <v>309</v>
      </c>
      <c r="B146" s="4" t="s">
        <v>16</v>
      </c>
      <c r="C146" s="14" t="s">
        <v>310</v>
      </c>
      <c r="D146" s="4">
        <v>5</v>
      </c>
      <c r="E146" s="1"/>
      <c r="F146" s="1"/>
      <c r="G146" s="1"/>
      <c r="H146" s="6" t="s">
        <v>311</v>
      </c>
      <c r="I146" s="4" t="s">
        <v>16</v>
      </c>
      <c r="J146" s="14" t="s">
        <v>312</v>
      </c>
      <c r="K146" s="4">
        <v>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>
      <c r="A147" s="6" t="s">
        <v>313</v>
      </c>
      <c r="B147" s="4" t="s">
        <v>19</v>
      </c>
      <c r="C147" s="14" t="s">
        <v>314</v>
      </c>
      <c r="D147" s="4">
        <v>5</v>
      </c>
      <c r="E147" s="1"/>
      <c r="F147" s="1"/>
      <c r="G147" s="1"/>
      <c r="H147" s="6" t="s">
        <v>315</v>
      </c>
      <c r="I147" s="4" t="s">
        <v>19</v>
      </c>
      <c r="J147" s="14" t="s">
        <v>316</v>
      </c>
      <c r="K147" s="4">
        <v>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>
      <c r="A148" s="6" t="s">
        <v>317</v>
      </c>
      <c r="B148" s="4" t="s">
        <v>188</v>
      </c>
      <c r="C148" s="14" t="s">
        <v>318</v>
      </c>
      <c r="D148" s="4">
        <v>2.5</v>
      </c>
      <c r="E148" s="1"/>
      <c r="F148" s="1"/>
      <c r="G148" s="1"/>
      <c r="H148" s="6" t="s">
        <v>319</v>
      </c>
      <c r="I148" s="4" t="s">
        <v>188</v>
      </c>
      <c r="J148" s="14" t="s">
        <v>320</v>
      </c>
      <c r="K148" s="4">
        <v>2.5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>
      <c r="A149" s="6" t="s">
        <v>321</v>
      </c>
      <c r="B149" s="4" t="s">
        <v>28</v>
      </c>
      <c r="C149" s="14" t="s">
        <v>322</v>
      </c>
      <c r="D149" s="4">
        <v>2</v>
      </c>
      <c r="E149" s="1"/>
      <c r="F149" s="1"/>
      <c r="G149" s="1"/>
      <c r="H149" s="6" t="s">
        <v>323</v>
      </c>
      <c r="I149" s="4" t="s">
        <v>28</v>
      </c>
      <c r="J149" s="14" t="s">
        <v>324</v>
      </c>
      <c r="K149" s="4">
        <v>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>
      <c r="A150" s="6" t="s">
        <v>325</v>
      </c>
      <c r="B150" s="4" t="s">
        <v>31</v>
      </c>
      <c r="C150" s="14" t="s">
        <v>326</v>
      </c>
      <c r="D150" s="4">
        <v>1</v>
      </c>
      <c r="E150" s="1"/>
      <c r="F150" s="1"/>
      <c r="G150" s="1"/>
      <c r="H150" s="6" t="s">
        <v>327</v>
      </c>
      <c r="I150" s="4" t="s">
        <v>31</v>
      </c>
      <c r="J150" s="14" t="s">
        <v>328</v>
      </c>
      <c r="K150" s="4">
        <v>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>
      <c r="A151" s="6" t="s">
        <v>329</v>
      </c>
      <c r="B151" s="4" t="s">
        <v>34</v>
      </c>
      <c r="C151" s="14" t="s">
        <v>330</v>
      </c>
      <c r="D151" s="4">
        <v>1</v>
      </c>
      <c r="E151" s="1"/>
      <c r="F151" s="1"/>
      <c r="G151" s="1"/>
      <c r="H151" s="6" t="s">
        <v>331</v>
      </c>
      <c r="I151" s="4" t="s">
        <v>34</v>
      </c>
      <c r="J151" s="14" t="s">
        <v>332</v>
      </c>
      <c r="K151" s="4">
        <v>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>
      <c r="A152" s="6" t="s">
        <v>333</v>
      </c>
      <c r="B152" s="4" t="s">
        <v>37</v>
      </c>
      <c r="C152" s="14" t="s">
        <v>334</v>
      </c>
      <c r="D152" s="4">
        <v>0.5</v>
      </c>
      <c r="E152" s="1"/>
      <c r="F152" s="1"/>
      <c r="G152" s="1"/>
      <c r="H152" s="6" t="s">
        <v>335</v>
      </c>
      <c r="I152" s="4" t="s">
        <v>37</v>
      </c>
      <c r="J152" s="14" t="s">
        <v>336</v>
      </c>
      <c r="K152" s="4">
        <v>0.5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>
      <c r="A153" s="6" t="s">
        <v>337</v>
      </c>
      <c r="B153" s="4" t="s">
        <v>41</v>
      </c>
      <c r="C153" s="14" t="s">
        <v>338</v>
      </c>
      <c r="D153" s="4">
        <v>0.25</v>
      </c>
      <c r="E153" s="1"/>
      <c r="F153" s="1"/>
      <c r="G153" s="1"/>
      <c r="H153" s="6" t="s">
        <v>339</v>
      </c>
      <c r="I153" s="4" t="s">
        <v>41</v>
      </c>
      <c r="J153" s="14" t="s">
        <v>340</v>
      </c>
      <c r="K153" s="4">
        <v>0.25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>
      <c r="A154" s="6" t="s">
        <v>341</v>
      </c>
      <c r="B154" s="4" t="s">
        <v>44</v>
      </c>
      <c r="C154" s="14" t="s">
        <v>342</v>
      </c>
      <c r="D154" s="63" t="s">
        <v>343</v>
      </c>
      <c r="E154" s="53"/>
      <c r="F154" s="53"/>
      <c r="G154" s="54"/>
      <c r="H154" s="6" t="s">
        <v>344</v>
      </c>
      <c r="I154" s="4" t="s">
        <v>44</v>
      </c>
      <c r="J154" s="14" t="s">
        <v>345</v>
      </c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>
      <c r="A155" s="6" t="s">
        <v>346</v>
      </c>
      <c r="B155" s="4" t="s">
        <v>47</v>
      </c>
      <c r="C155" s="14" t="s">
        <v>347</v>
      </c>
      <c r="D155" s="55"/>
      <c r="E155" s="56"/>
      <c r="F155" s="56"/>
      <c r="G155" s="57"/>
      <c r="H155" s="6" t="s">
        <v>348</v>
      </c>
      <c r="I155" s="4" t="s">
        <v>47</v>
      </c>
      <c r="J155" s="14" t="s">
        <v>349</v>
      </c>
      <c r="K155" s="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>
      <c r="A156" s="6" t="s">
        <v>350</v>
      </c>
      <c r="B156" s="4" t="s">
        <v>50</v>
      </c>
      <c r="C156" s="14" t="s">
        <v>351</v>
      </c>
      <c r="D156" s="63" t="s">
        <v>352</v>
      </c>
      <c r="E156" s="53"/>
      <c r="F156" s="53"/>
      <c r="G156" s="53"/>
      <c r="H156" s="23" t="s">
        <v>353</v>
      </c>
      <c r="I156" s="4" t="s">
        <v>50</v>
      </c>
      <c r="J156" s="14" t="s">
        <v>354</v>
      </c>
      <c r="K156" s="2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>
      <c r="A157" s="4"/>
      <c r="B157" s="4"/>
      <c r="C157" s="4"/>
      <c r="D157" s="55"/>
      <c r="E157" s="56"/>
      <c r="F157" s="56"/>
      <c r="G157" s="56"/>
      <c r="H157" s="4"/>
      <c r="I157" s="4"/>
      <c r="J157" s="4"/>
      <c r="K157" s="1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s="42" customFormat="1" ht="9.75" customHeight="1">
      <c r="A158" s="44"/>
      <c r="B158" s="44"/>
      <c r="C158" s="44"/>
      <c r="D158" s="46"/>
      <c r="E158" s="46"/>
      <c r="F158" s="46"/>
      <c r="G158" s="46"/>
      <c r="H158" s="44"/>
      <c r="I158" s="44"/>
      <c r="J158" s="44"/>
      <c r="K158" s="4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58" t="s">
        <v>355</v>
      </c>
      <c r="B159" s="59"/>
      <c r="C159" s="59"/>
      <c r="D159" s="59"/>
      <c r="E159" s="1"/>
      <c r="F159" s="1"/>
      <c r="G159" s="1"/>
      <c r="H159" s="58" t="s">
        <v>356</v>
      </c>
      <c r="I159" s="59"/>
      <c r="J159" s="59"/>
      <c r="K159" s="5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56"/>
      <c r="B160" s="56"/>
      <c r="C160" s="56"/>
      <c r="D160" s="56"/>
      <c r="E160" s="25"/>
      <c r="F160" s="25"/>
      <c r="G160" s="25"/>
      <c r="H160" s="56"/>
      <c r="I160" s="56"/>
      <c r="J160" s="56"/>
      <c r="K160" s="56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9.75" customHeight="1">
      <c r="A161" s="4" t="s">
        <v>2</v>
      </c>
      <c r="B161" s="4" t="s">
        <v>3</v>
      </c>
      <c r="C161" s="5" t="s">
        <v>171</v>
      </c>
      <c r="D161" s="1"/>
      <c r="E161" s="1"/>
      <c r="F161" s="1"/>
      <c r="G161" s="1"/>
      <c r="H161" s="4" t="s">
        <v>2</v>
      </c>
      <c r="I161" s="4" t="s">
        <v>3</v>
      </c>
      <c r="J161" s="5" t="s">
        <v>171</v>
      </c>
      <c r="K161" s="1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>
      <c r="A162" s="6" t="s">
        <v>357</v>
      </c>
      <c r="B162" s="4" t="s">
        <v>358</v>
      </c>
      <c r="C162" s="14" t="s">
        <v>359</v>
      </c>
      <c r="D162" s="1"/>
      <c r="E162" s="11"/>
      <c r="F162" s="11"/>
      <c r="G162" s="11"/>
      <c r="H162" s="6" t="s">
        <v>360</v>
      </c>
      <c r="I162" s="4" t="s">
        <v>358</v>
      </c>
      <c r="J162" s="14" t="s">
        <v>359</v>
      </c>
      <c r="K162" s="15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9.75" customHeight="1">
      <c r="A163" s="6" t="s">
        <v>361</v>
      </c>
      <c r="B163" s="4" t="s">
        <v>362</v>
      </c>
      <c r="C163" s="14" t="s">
        <v>363</v>
      </c>
      <c r="D163" s="1"/>
      <c r="E163" s="11"/>
      <c r="F163" s="11"/>
      <c r="G163" s="11"/>
      <c r="H163" s="6" t="s">
        <v>364</v>
      </c>
      <c r="I163" s="4" t="s">
        <v>362</v>
      </c>
      <c r="J163" s="14" t="s">
        <v>363</v>
      </c>
      <c r="K163" s="1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>
      <c r="A164" s="6" t="s">
        <v>365</v>
      </c>
      <c r="B164" s="4" t="s">
        <v>366</v>
      </c>
      <c r="C164" s="14" t="s">
        <v>367</v>
      </c>
      <c r="D164" s="1"/>
      <c r="E164" s="11"/>
      <c r="F164" s="11"/>
      <c r="G164" s="11"/>
      <c r="H164" s="6" t="s">
        <v>368</v>
      </c>
      <c r="I164" s="4" t="s">
        <v>366</v>
      </c>
      <c r="J164" s="14" t="s">
        <v>367</v>
      </c>
      <c r="K164" s="1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>
      <c r="A165" s="6" t="s">
        <v>369</v>
      </c>
      <c r="B165" s="4" t="s">
        <v>370</v>
      </c>
      <c r="C165" s="14" t="s">
        <v>371</v>
      </c>
      <c r="D165" s="1"/>
      <c r="E165" s="11"/>
      <c r="F165" s="11"/>
      <c r="G165" s="11"/>
      <c r="H165" s="6" t="s">
        <v>372</v>
      </c>
      <c r="I165" s="4" t="s">
        <v>370</v>
      </c>
      <c r="J165" s="14" t="s">
        <v>371</v>
      </c>
      <c r="K165" s="1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>
      <c r="A166" s="6" t="s">
        <v>373</v>
      </c>
      <c r="B166" s="4" t="s">
        <v>374</v>
      </c>
      <c r="C166" s="14" t="s">
        <v>375</v>
      </c>
      <c r="D166" s="1"/>
      <c r="E166" s="11"/>
      <c r="F166" s="11"/>
      <c r="G166" s="11"/>
      <c r="H166" s="6" t="s">
        <v>376</v>
      </c>
      <c r="I166" s="4" t="s">
        <v>374</v>
      </c>
      <c r="J166" s="14" t="s">
        <v>375</v>
      </c>
      <c r="K166" s="1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>
      <c r="A167" s="6" t="s">
        <v>377</v>
      </c>
      <c r="B167" s="4" t="s">
        <v>378</v>
      </c>
      <c r="C167" s="14" t="s">
        <v>379</v>
      </c>
      <c r="D167" s="1"/>
      <c r="E167" s="11"/>
      <c r="F167" s="11"/>
      <c r="G167" s="11"/>
      <c r="H167" s="6" t="s">
        <v>380</v>
      </c>
      <c r="I167" s="4" t="s">
        <v>378</v>
      </c>
      <c r="J167" s="14" t="s">
        <v>379</v>
      </c>
      <c r="K167" s="1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>
      <c r="A168" s="6" t="s">
        <v>381</v>
      </c>
      <c r="B168" s="4" t="s">
        <v>382</v>
      </c>
      <c r="C168" s="14" t="s">
        <v>383</v>
      </c>
      <c r="D168" s="1"/>
      <c r="E168" s="11"/>
      <c r="F168" s="11"/>
      <c r="G168" s="11"/>
      <c r="H168" s="6" t="s">
        <v>384</v>
      </c>
      <c r="I168" s="4" t="s">
        <v>382</v>
      </c>
      <c r="J168" s="14" t="s">
        <v>383</v>
      </c>
      <c r="K168" s="1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>
      <c r="A169" s="1"/>
      <c r="B169" s="1"/>
      <c r="C169" s="2"/>
      <c r="D169" s="1"/>
      <c r="E169" s="1"/>
      <c r="F169" s="1"/>
      <c r="G169" s="1"/>
      <c r="H169" s="1"/>
      <c r="I169" s="1"/>
      <c r="J169" s="2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>
      <c r="A170" s="58" t="s">
        <v>385</v>
      </c>
      <c r="B170" s="59"/>
      <c r="C170" s="59"/>
      <c r="D170" s="59"/>
      <c r="E170" s="1"/>
      <c r="F170" s="1"/>
      <c r="G170" s="1"/>
      <c r="H170" s="58" t="s">
        <v>386</v>
      </c>
      <c r="I170" s="59"/>
      <c r="J170" s="59"/>
      <c r="K170" s="5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>
      <c r="A171" s="56"/>
      <c r="B171" s="56"/>
      <c r="C171" s="56"/>
      <c r="D171" s="56"/>
      <c r="E171" s="1"/>
      <c r="F171" s="1"/>
      <c r="G171" s="1"/>
      <c r="H171" s="56"/>
      <c r="I171" s="56"/>
      <c r="J171" s="56"/>
      <c r="K171" s="5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>
      <c r="A172" s="4" t="s">
        <v>2</v>
      </c>
      <c r="B172" s="4" t="s">
        <v>3</v>
      </c>
      <c r="C172" s="5" t="s">
        <v>208</v>
      </c>
      <c r="D172" s="15"/>
      <c r="E172" s="1"/>
      <c r="F172" s="1"/>
      <c r="G172" s="1"/>
      <c r="H172" s="4" t="s">
        <v>2</v>
      </c>
      <c r="I172" s="4" t="s">
        <v>3</v>
      </c>
      <c r="J172" s="5" t="s">
        <v>208</v>
      </c>
      <c r="K172" s="1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>
      <c r="A173" s="6" t="s">
        <v>387</v>
      </c>
      <c r="B173" s="18" t="s">
        <v>388</v>
      </c>
      <c r="C173" s="14" t="s">
        <v>389</v>
      </c>
      <c r="D173" s="15"/>
      <c r="E173" s="1"/>
      <c r="F173" s="1"/>
      <c r="G173" s="1"/>
      <c r="H173" s="6" t="s">
        <v>390</v>
      </c>
      <c r="I173" s="4" t="s">
        <v>10</v>
      </c>
      <c r="J173" s="14" t="s">
        <v>391</v>
      </c>
      <c r="K173" s="1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>
      <c r="A174" s="6" t="s">
        <v>392</v>
      </c>
      <c r="B174" s="18" t="s">
        <v>393</v>
      </c>
      <c r="C174" s="14">
        <v>1.1100000000000001</v>
      </c>
      <c r="D174" s="15"/>
      <c r="E174" s="1"/>
      <c r="F174" s="1"/>
      <c r="G174" s="1"/>
      <c r="H174" s="6" t="s">
        <v>394</v>
      </c>
      <c r="I174" s="4" t="s">
        <v>13</v>
      </c>
      <c r="J174" s="14">
        <v>0.65</v>
      </c>
      <c r="K174" s="1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>
      <c r="A175" s="6" t="s">
        <v>395</v>
      </c>
      <c r="B175" s="18" t="s">
        <v>396</v>
      </c>
      <c r="C175" s="14" t="s">
        <v>397</v>
      </c>
      <c r="D175" s="15"/>
      <c r="E175" s="1"/>
      <c r="F175" s="1"/>
      <c r="G175" s="1"/>
      <c r="H175" s="6" t="s">
        <v>398</v>
      </c>
      <c r="I175" s="4" t="s">
        <v>16</v>
      </c>
      <c r="J175" s="14" t="s">
        <v>399</v>
      </c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>
      <c r="A176" s="6" t="s">
        <v>400</v>
      </c>
      <c r="B176" s="18" t="s">
        <v>401</v>
      </c>
      <c r="C176" s="14" t="s">
        <v>402</v>
      </c>
      <c r="D176" s="15"/>
      <c r="E176" s="1"/>
      <c r="F176" s="1"/>
      <c r="G176" s="1"/>
      <c r="H176" s="6" t="s">
        <v>403</v>
      </c>
      <c r="I176" s="4" t="s">
        <v>404</v>
      </c>
      <c r="J176" s="14" t="s">
        <v>405</v>
      </c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>
      <c r="A177" s="6" t="s">
        <v>406</v>
      </c>
      <c r="B177" s="18" t="s">
        <v>407</v>
      </c>
      <c r="C177" s="14" t="s">
        <v>408</v>
      </c>
      <c r="D177" s="15"/>
      <c r="E177" s="1"/>
      <c r="F177" s="1"/>
      <c r="G177" s="1"/>
      <c r="H177" s="6" t="s">
        <v>409</v>
      </c>
      <c r="I177" s="4" t="s">
        <v>410</v>
      </c>
      <c r="J177" s="14" t="s">
        <v>145</v>
      </c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>
      <c r="A178" s="6"/>
      <c r="B178" s="18"/>
      <c r="C178" s="14"/>
      <c r="D178" s="15"/>
      <c r="E178" s="1"/>
      <c r="F178" s="1"/>
      <c r="G178" s="1"/>
      <c r="H178" s="6"/>
      <c r="I178" s="4"/>
      <c r="J178" s="14"/>
      <c r="K178" s="1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>
      <c r="A179" s="6"/>
      <c r="B179" s="18"/>
      <c r="C179" s="14"/>
      <c r="D179" s="15"/>
      <c r="E179" s="1"/>
      <c r="F179" s="1"/>
      <c r="G179" s="1"/>
      <c r="H179" s="10"/>
      <c r="I179" s="11"/>
      <c r="J179" s="2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>
      <c r="A180" s="58" t="s">
        <v>411</v>
      </c>
      <c r="B180" s="59"/>
      <c r="C180" s="59"/>
      <c r="D180" s="59"/>
      <c r="E180" s="1"/>
      <c r="F180" s="1"/>
      <c r="G180" s="1"/>
      <c r="H180" s="58" t="s">
        <v>412</v>
      </c>
      <c r="I180" s="59"/>
      <c r="J180" s="59"/>
      <c r="K180" s="5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>
      <c r="A181" s="56"/>
      <c r="B181" s="56"/>
      <c r="C181" s="56"/>
      <c r="D181" s="56"/>
      <c r="E181" s="1"/>
      <c r="F181" s="1"/>
      <c r="G181" s="1"/>
      <c r="H181" s="56"/>
      <c r="I181" s="56"/>
      <c r="J181" s="56"/>
      <c r="K181" s="5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>
      <c r="A182" s="4" t="s">
        <v>2</v>
      </c>
      <c r="B182" s="4" t="s">
        <v>3</v>
      </c>
      <c r="C182" s="5" t="s">
        <v>208</v>
      </c>
      <c r="D182" s="15"/>
      <c r="E182" s="1"/>
      <c r="F182" s="1"/>
      <c r="G182" s="1"/>
      <c r="H182" s="4" t="s">
        <v>2</v>
      </c>
      <c r="I182" s="4" t="s">
        <v>3</v>
      </c>
      <c r="J182" s="5" t="s">
        <v>208</v>
      </c>
      <c r="K182" s="1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>
      <c r="A183" s="6" t="s">
        <v>413</v>
      </c>
      <c r="B183" s="4" t="s">
        <v>10</v>
      </c>
      <c r="C183" s="5" t="s">
        <v>414</v>
      </c>
      <c r="D183" s="15"/>
      <c r="E183" s="1"/>
      <c r="F183" s="1"/>
      <c r="G183" s="1"/>
      <c r="H183" s="6" t="s">
        <v>415</v>
      </c>
      <c r="I183" s="4" t="s">
        <v>10</v>
      </c>
      <c r="J183" s="5" t="s">
        <v>416</v>
      </c>
      <c r="K183" s="1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>
      <c r="A184" s="6" t="s">
        <v>417</v>
      </c>
      <c r="B184" s="4" t="s">
        <v>13</v>
      </c>
      <c r="C184" s="5" t="s">
        <v>418</v>
      </c>
      <c r="D184" s="15"/>
      <c r="E184" s="1"/>
      <c r="F184" s="1"/>
      <c r="G184" s="1"/>
      <c r="H184" s="6" t="s">
        <v>419</v>
      </c>
      <c r="I184" s="4" t="s">
        <v>13</v>
      </c>
      <c r="J184" s="5" t="s">
        <v>420</v>
      </c>
      <c r="K184" s="1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>
      <c r="A185" s="6" t="s">
        <v>421</v>
      </c>
      <c r="B185" s="4" t="s">
        <v>16</v>
      </c>
      <c r="C185" s="5" t="s">
        <v>418</v>
      </c>
      <c r="D185" s="15"/>
      <c r="E185" s="1"/>
      <c r="F185" s="1"/>
      <c r="G185" s="1"/>
      <c r="H185" s="6" t="s">
        <v>422</v>
      </c>
      <c r="I185" s="4" t="s">
        <v>16</v>
      </c>
      <c r="J185" s="5" t="s">
        <v>420</v>
      </c>
      <c r="K185" s="1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>
      <c r="A186" s="1"/>
      <c r="B186" s="1"/>
      <c r="C186" s="2"/>
      <c r="D186" s="16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>
      <c r="A187" s="58" t="s">
        <v>423</v>
      </c>
      <c r="B187" s="59"/>
      <c r="C187" s="59"/>
      <c r="D187" s="59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>
      <c r="A188" s="56"/>
      <c r="B188" s="56"/>
      <c r="C188" s="56"/>
      <c r="D188" s="56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>
      <c r="A189" s="4" t="s">
        <v>2</v>
      </c>
      <c r="B189" s="4" t="s">
        <v>3</v>
      </c>
      <c r="C189" s="5" t="s">
        <v>208</v>
      </c>
      <c r="D189" s="15"/>
      <c r="E189" s="1"/>
      <c r="F189" s="1"/>
      <c r="G189" s="1"/>
      <c r="H189" s="1"/>
      <c r="I189" s="1"/>
      <c r="J189" s="2"/>
      <c r="K189" s="1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>
      <c r="A190" s="6" t="s">
        <v>424</v>
      </c>
      <c r="B190" s="4" t="s">
        <v>10</v>
      </c>
      <c r="C190" s="5" t="s">
        <v>425</v>
      </c>
      <c r="D190" s="15"/>
      <c r="E190" s="1"/>
      <c r="F190" s="1"/>
      <c r="G190" s="1"/>
      <c r="H190" s="1"/>
      <c r="I190" s="1"/>
      <c r="J190" s="2"/>
      <c r="K190" s="11"/>
      <c r="L190" s="1"/>
      <c r="M190" s="1"/>
      <c r="N190" s="1"/>
      <c r="O190" s="1"/>
      <c r="P190" s="1"/>
    </row>
    <row r="191" spans="1:26" ht="9.75" customHeight="1">
      <c r="A191" s="6" t="s">
        <v>426</v>
      </c>
      <c r="B191" s="4" t="s">
        <v>13</v>
      </c>
      <c r="C191" s="5" t="s">
        <v>427</v>
      </c>
      <c r="D191" s="15"/>
      <c r="E191" s="1"/>
      <c r="F191" s="1"/>
      <c r="G191" s="1"/>
      <c r="H191" s="1"/>
      <c r="I191" s="1"/>
      <c r="J191" s="2"/>
      <c r="K191" s="11"/>
      <c r="L191" s="1"/>
      <c r="M191" s="1"/>
      <c r="N191" s="1"/>
      <c r="O191" s="1"/>
      <c r="P191" s="1"/>
    </row>
    <row r="192" spans="1:26" ht="9.75" customHeight="1">
      <c r="A192" s="6" t="s">
        <v>428</v>
      </c>
      <c r="B192" s="4" t="s">
        <v>16</v>
      </c>
      <c r="C192" s="5" t="s">
        <v>427</v>
      </c>
      <c r="D192" s="15"/>
      <c r="E192" s="1"/>
      <c r="F192" s="1"/>
      <c r="G192" s="1"/>
      <c r="H192" s="1"/>
      <c r="I192" s="1"/>
      <c r="J192" s="2"/>
      <c r="K192" s="11"/>
      <c r="L192" s="1"/>
      <c r="M192" s="1"/>
      <c r="N192" s="1"/>
      <c r="O192" s="1"/>
      <c r="P192" s="1"/>
    </row>
    <row r="193" spans="1:26" ht="9.75" customHeight="1">
      <c r="A193" s="1"/>
      <c r="B193" s="1"/>
      <c r="C193" s="2"/>
      <c r="D193" s="1"/>
      <c r="E193" s="1"/>
      <c r="F193" s="1"/>
      <c r="G193" s="1"/>
      <c r="H193" s="1"/>
      <c r="I193" s="1"/>
      <c r="J193" s="2"/>
      <c r="K193" s="11"/>
      <c r="L193" s="1"/>
      <c r="M193" s="1"/>
      <c r="N193" s="1"/>
      <c r="O193" s="1"/>
      <c r="P193" s="1"/>
    </row>
    <row r="194" spans="1:26" ht="9.75" customHeight="1">
      <c r="A194" s="58" t="s">
        <v>429</v>
      </c>
      <c r="B194" s="59"/>
      <c r="C194" s="59"/>
      <c r="D194" s="59"/>
      <c r="E194" s="1"/>
      <c r="F194" s="1"/>
      <c r="G194" s="58" t="s">
        <v>430</v>
      </c>
      <c r="H194" s="59"/>
      <c r="I194" s="59"/>
      <c r="J194" s="59"/>
      <c r="K194" s="11"/>
      <c r="L194" s="1"/>
      <c r="M194" s="1"/>
      <c r="N194" s="1"/>
      <c r="O194" s="1"/>
      <c r="P194" s="1"/>
    </row>
    <row r="195" spans="1:26" ht="9.75" customHeight="1">
      <c r="A195" s="56"/>
      <c r="B195" s="56"/>
      <c r="C195" s="56"/>
      <c r="D195" s="56"/>
      <c r="E195" s="1"/>
      <c r="F195" s="1"/>
      <c r="G195" s="56"/>
      <c r="H195" s="56"/>
      <c r="I195" s="56"/>
      <c r="J195" s="56"/>
      <c r="K195" s="11"/>
      <c r="L195" s="1"/>
      <c r="M195" s="1"/>
      <c r="N195" s="1"/>
      <c r="O195" s="1"/>
      <c r="P195" s="1"/>
    </row>
    <row r="196" spans="1:26" ht="9.75" customHeight="1">
      <c r="A196" s="4" t="s">
        <v>2</v>
      </c>
      <c r="B196" s="4" t="s">
        <v>3</v>
      </c>
      <c r="C196" s="5" t="s">
        <v>171</v>
      </c>
      <c r="E196" s="1"/>
      <c r="F196" s="1"/>
      <c r="G196" s="4" t="s">
        <v>2</v>
      </c>
      <c r="H196" s="60" t="s">
        <v>3</v>
      </c>
      <c r="I196" s="51"/>
      <c r="J196" s="5" t="s">
        <v>171</v>
      </c>
      <c r="K196" s="11"/>
      <c r="L196" s="1"/>
      <c r="M196" s="1"/>
      <c r="N196" s="1"/>
      <c r="O196" s="1"/>
      <c r="P196" s="1"/>
    </row>
    <row r="197" spans="1:26" ht="9.75" customHeight="1">
      <c r="A197" s="13" t="s">
        <v>431</v>
      </c>
      <c r="B197" s="4" t="s">
        <v>432</v>
      </c>
      <c r="C197" s="14" t="s">
        <v>433</v>
      </c>
      <c r="E197" s="1"/>
      <c r="F197" s="1"/>
      <c r="G197" s="13" t="s">
        <v>434</v>
      </c>
      <c r="H197" s="60" t="s">
        <v>435</v>
      </c>
      <c r="I197" s="51"/>
      <c r="J197" s="14" t="s">
        <v>436</v>
      </c>
      <c r="K197" s="11"/>
      <c r="L197" s="1"/>
      <c r="M197" s="1"/>
      <c r="N197" s="1"/>
      <c r="O197" s="1"/>
      <c r="P197" s="1"/>
    </row>
    <row r="198" spans="1:26" ht="9.75" customHeight="1">
      <c r="A198" s="13" t="s">
        <v>437</v>
      </c>
      <c r="B198" s="4" t="s">
        <v>438</v>
      </c>
      <c r="C198" s="14" t="s">
        <v>439</v>
      </c>
      <c r="E198" s="1"/>
      <c r="F198" s="1"/>
      <c r="G198" s="13" t="s">
        <v>440</v>
      </c>
      <c r="H198" s="60" t="s">
        <v>441</v>
      </c>
      <c r="I198" s="51"/>
      <c r="J198" s="14" t="s">
        <v>442</v>
      </c>
      <c r="K198" s="11"/>
      <c r="L198" s="1"/>
      <c r="M198" s="1"/>
      <c r="N198" s="1"/>
      <c r="O198" s="1"/>
      <c r="P198" s="1"/>
    </row>
    <row r="199" spans="1:26" ht="9.75" customHeight="1">
      <c r="A199" s="13" t="s">
        <v>443</v>
      </c>
      <c r="B199" s="4" t="s">
        <v>444</v>
      </c>
      <c r="C199" s="14" t="s">
        <v>445</v>
      </c>
      <c r="E199" s="1"/>
      <c r="F199" s="1"/>
      <c r="G199" s="13" t="s">
        <v>446</v>
      </c>
      <c r="H199" s="60" t="s">
        <v>447</v>
      </c>
      <c r="I199" s="51"/>
      <c r="J199" s="14" t="s">
        <v>448</v>
      </c>
      <c r="K199" s="11"/>
      <c r="L199" s="1"/>
      <c r="M199" s="1"/>
      <c r="N199" s="1"/>
      <c r="O199" s="1"/>
      <c r="P199" s="1"/>
    </row>
    <row r="200" spans="1:26" ht="9.75" customHeight="1">
      <c r="A200" s="13" t="s">
        <v>449</v>
      </c>
      <c r="B200" s="4" t="s">
        <v>450</v>
      </c>
      <c r="C200" s="14" t="s">
        <v>445</v>
      </c>
      <c r="E200" s="1"/>
      <c r="F200" s="1"/>
      <c r="G200" s="13" t="s">
        <v>451</v>
      </c>
      <c r="H200" s="60" t="s">
        <v>452</v>
      </c>
      <c r="I200" s="51"/>
      <c r="J200" s="14" t="s">
        <v>453</v>
      </c>
      <c r="K200" s="11"/>
      <c r="L200" s="1"/>
      <c r="M200" s="1"/>
      <c r="N200" s="1"/>
      <c r="O200" s="1"/>
      <c r="P200" s="1"/>
    </row>
    <row r="201" spans="1:26" ht="9.75" customHeight="1">
      <c r="A201" s="13" t="s">
        <v>454</v>
      </c>
      <c r="B201" s="4" t="s">
        <v>455</v>
      </c>
      <c r="C201" s="14" t="s">
        <v>456</v>
      </c>
      <c r="E201" s="1"/>
      <c r="F201" s="1"/>
      <c r="G201" s="13" t="s">
        <v>457</v>
      </c>
      <c r="H201" s="60" t="s">
        <v>458</v>
      </c>
      <c r="I201" s="51"/>
      <c r="J201" s="14" t="s">
        <v>459</v>
      </c>
      <c r="K201" s="11"/>
      <c r="L201" s="1"/>
      <c r="M201" s="1"/>
      <c r="N201" s="1"/>
      <c r="O201" s="1"/>
      <c r="P201" s="1"/>
    </row>
    <row r="202" spans="1:26" ht="9.75" customHeight="1">
      <c r="A202" s="13" t="s">
        <v>460</v>
      </c>
      <c r="B202" s="4" t="s">
        <v>461</v>
      </c>
      <c r="C202" s="14" t="s">
        <v>462</v>
      </c>
      <c r="E202" s="1"/>
      <c r="F202" s="1"/>
      <c r="G202" s="13" t="s">
        <v>463</v>
      </c>
      <c r="H202" s="60" t="s">
        <v>464</v>
      </c>
      <c r="I202" s="51"/>
      <c r="J202" s="14" t="s">
        <v>465</v>
      </c>
      <c r="K202" s="11"/>
      <c r="L202" s="1"/>
      <c r="M202" s="1"/>
      <c r="N202" s="1"/>
      <c r="O202" s="1"/>
      <c r="P202" s="1"/>
    </row>
    <row r="203" spans="1:26" ht="9.75" customHeight="1">
      <c r="A203" s="13" t="s">
        <v>466</v>
      </c>
      <c r="B203" s="4" t="s">
        <v>467</v>
      </c>
      <c r="C203" s="14" t="s">
        <v>468</v>
      </c>
      <c r="E203" s="1"/>
      <c r="F203" s="1"/>
      <c r="G203" s="13" t="s">
        <v>469</v>
      </c>
      <c r="H203" s="60" t="s">
        <v>470</v>
      </c>
      <c r="I203" s="51"/>
      <c r="J203" s="14" t="s">
        <v>471</v>
      </c>
      <c r="K203" s="11"/>
      <c r="L203" s="1"/>
      <c r="M203" s="1"/>
      <c r="N203" s="1"/>
      <c r="O203" s="1"/>
      <c r="P203" s="1"/>
    </row>
    <row r="204" spans="1:26" ht="9.75" customHeight="1">
      <c r="A204" s="13" t="s">
        <v>472</v>
      </c>
      <c r="B204" s="4" t="s">
        <v>473</v>
      </c>
      <c r="C204" s="14" t="s">
        <v>474</v>
      </c>
      <c r="E204" s="1"/>
      <c r="F204" s="1"/>
      <c r="G204" s="13" t="s">
        <v>475</v>
      </c>
      <c r="H204" s="60" t="s">
        <v>476</v>
      </c>
      <c r="I204" s="51"/>
      <c r="J204" s="14" t="s">
        <v>477</v>
      </c>
      <c r="K204" s="11"/>
      <c r="L204" s="1"/>
      <c r="M204" s="1"/>
      <c r="N204" s="1"/>
      <c r="O204" s="1"/>
      <c r="P204" s="1"/>
    </row>
    <row r="205" spans="1:26" ht="9.75" customHeight="1">
      <c r="A205" s="13" t="s">
        <v>478</v>
      </c>
      <c r="B205" s="4" t="s">
        <v>479</v>
      </c>
      <c r="C205" s="14" t="s">
        <v>480</v>
      </c>
      <c r="E205" s="1"/>
      <c r="F205" s="1"/>
      <c r="G205" s="13" t="s">
        <v>481</v>
      </c>
      <c r="H205" s="60" t="s">
        <v>482</v>
      </c>
      <c r="I205" s="51"/>
      <c r="J205" s="14" t="s">
        <v>483</v>
      </c>
      <c r="K205" s="11"/>
      <c r="L205" s="1"/>
      <c r="M205" s="1"/>
      <c r="N205" s="1"/>
      <c r="O205" s="1"/>
      <c r="P205" s="1"/>
    </row>
    <row r="206" spans="1:26" ht="9.75" customHeight="1">
      <c r="A206" s="13" t="s">
        <v>484</v>
      </c>
      <c r="B206" s="4" t="s">
        <v>485</v>
      </c>
      <c r="C206" s="14" t="s">
        <v>486</v>
      </c>
      <c r="E206" s="1"/>
      <c r="F206" s="1"/>
      <c r="G206" s="1"/>
      <c r="H206" s="1"/>
      <c r="I206" s="1"/>
      <c r="J206" s="1"/>
      <c r="K206" s="11"/>
      <c r="L206" s="1"/>
      <c r="M206" s="1"/>
      <c r="N206" s="1"/>
      <c r="O206" s="1"/>
      <c r="P206" s="1"/>
    </row>
    <row r="207" spans="1:26" ht="9.75" customHeight="1">
      <c r="A207" s="13" t="s">
        <v>487</v>
      </c>
      <c r="B207" s="4" t="s">
        <v>488</v>
      </c>
      <c r="C207" s="14" t="s">
        <v>489</v>
      </c>
      <c r="E207" s="1"/>
      <c r="F207" s="1"/>
      <c r="G207" s="1"/>
      <c r="H207" s="1"/>
      <c r="I207" s="1"/>
      <c r="J207" s="1"/>
      <c r="K207" s="11"/>
      <c r="L207" s="1"/>
      <c r="M207" s="1"/>
      <c r="N207" s="1"/>
      <c r="O207" s="1"/>
      <c r="P207" s="1"/>
    </row>
    <row r="208" spans="1:26" ht="9.75" customHeight="1">
      <c r="A208" s="13" t="s">
        <v>490</v>
      </c>
      <c r="B208" s="4" t="s">
        <v>491</v>
      </c>
      <c r="C208" s="14" t="s">
        <v>492</v>
      </c>
      <c r="E208" s="1"/>
      <c r="F208" s="1"/>
      <c r="G208" s="1"/>
      <c r="K208" s="1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>
      <c r="A209" s="13" t="s">
        <v>493</v>
      </c>
      <c r="B209" s="4" t="s">
        <v>494</v>
      </c>
      <c r="C209" s="14" t="s">
        <v>495</v>
      </c>
      <c r="E209" s="1"/>
      <c r="F209" s="1"/>
      <c r="G209" s="1"/>
      <c r="K209" s="1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>
      <c r="A210" s="13" t="s">
        <v>496</v>
      </c>
      <c r="B210" s="4" t="s">
        <v>497</v>
      </c>
      <c r="C210" s="14" t="s">
        <v>498</v>
      </c>
      <c r="E210" s="1"/>
      <c r="F210" s="1"/>
      <c r="G210" s="1"/>
      <c r="K210" s="1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>
      <c r="A211" s="13" t="s">
        <v>499</v>
      </c>
      <c r="B211" s="4" t="s">
        <v>500</v>
      </c>
      <c r="C211" s="14" t="s">
        <v>501</v>
      </c>
      <c r="E211" s="1"/>
      <c r="F211" s="1"/>
      <c r="G211" s="1"/>
      <c r="K211" s="1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>
      <c r="K212" s="1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>
      <c r="A213" s="58" t="s">
        <v>502</v>
      </c>
      <c r="B213" s="59"/>
      <c r="C213" s="59"/>
      <c r="D213" s="59"/>
      <c r="E213" s="1"/>
      <c r="F213" s="1"/>
      <c r="G213" s="58" t="s">
        <v>503</v>
      </c>
      <c r="H213" s="59"/>
      <c r="I213" s="59"/>
      <c r="J213" s="59"/>
      <c r="K213" s="1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>
      <c r="A214" s="59"/>
      <c r="B214" s="59"/>
      <c r="C214" s="59"/>
      <c r="D214" s="59"/>
      <c r="E214" s="1"/>
      <c r="F214" s="1"/>
      <c r="G214" s="59"/>
      <c r="H214" s="59"/>
      <c r="I214" s="59"/>
      <c r="J214" s="59"/>
      <c r="K214" s="1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>
      <c r="A215" s="31" t="s">
        <v>2</v>
      </c>
      <c r="B215" s="31" t="s">
        <v>3</v>
      </c>
      <c r="C215" s="5" t="s">
        <v>4</v>
      </c>
      <c r="D215" s="31" t="s">
        <v>5</v>
      </c>
      <c r="E215" s="1"/>
      <c r="F215" s="1"/>
      <c r="G215" s="31" t="s">
        <v>2</v>
      </c>
      <c r="H215" s="31" t="s">
        <v>3</v>
      </c>
      <c r="I215" s="5" t="s">
        <v>4</v>
      </c>
      <c r="J215" s="31" t="s">
        <v>5</v>
      </c>
      <c r="K215" s="1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>
      <c r="A216" s="6" t="s">
        <v>504</v>
      </c>
      <c r="B216" s="31" t="s">
        <v>10</v>
      </c>
      <c r="C216" s="14">
        <v>6.9064590000000017</v>
      </c>
      <c r="D216" s="31">
        <v>10</v>
      </c>
      <c r="E216" s="1"/>
      <c r="F216" s="1"/>
      <c r="G216" s="6" t="s">
        <v>505</v>
      </c>
      <c r="H216" s="31" t="s">
        <v>10</v>
      </c>
      <c r="I216" s="14">
        <v>20.719377000000005</v>
      </c>
      <c r="J216" s="31">
        <v>10</v>
      </c>
      <c r="K216" s="1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>
      <c r="A217" s="6" t="s">
        <v>506</v>
      </c>
      <c r="B217" s="31" t="s">
        <v>13</v>
      </c>
      <c r="C217" s="14">
        <v>11.171810999999998</v>
      </c>
      <c r="D217" s="31">
        <v>10</v>
      </c>
      <c r="E217" s="1"/>
      <c r="F217" s="1"/>
      <c r="G217" s="6" t="s">
        <v>507</v>
      </c>
      <c r="H217" s="31" t="s">
        <v>13</v>
      </c>
      <c r="I217" s="14">
        <v>33.515432999999994</v>
      </c>
      <c r="J217" s="31">
        <v>10</v>
      </c>
      <c r="K217" s="1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s="48" customFormat="1" ht="9.75" customHeight="1">
      <c r="A218" s="6" t="s">
        <v>508</v>
      </c>
      <c r="B218" s="31" t="s">
        <v>16</v>
      </c>
      <c r="C218" s="14">
        <v>16.665600000000001</v>
      </c>
      <c r="D218" s="31">
        <v>5</v>
      </c>
      <c r="E218" s="1"/>
      <c r="F218" s="1"/>
      <c r="G218" s="6" t="s">
        <v>509</v>
      </c>
      <c r="H218" s="31" t="s">
        <v>16</v>
      </c>
      <c r="I218" s="14">
        <v>49.996800000000007</v>
      </c>
      <c r="J218" s="31">
        <v>5</v>
      </c>
      <c r="K218" s="1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>
      <c r="A219" s="6">
        <v>0</v>
      </c>
      <c r="B219" s="31" t="s">
        <v>19</v>
      </c>
      <c r="C219" s="14">
        <v>24.501035999999999</v>
      </c>
      <c r="D219" s="31">
        <v>5</v>
      </c>
      <c r="E219" s="1"/>
      <c r="F219" s="1"/>
      <c r="G219" s="6">
        <v>0</v>
      </c>
      <c r="H219" s="31" t="s">
        <v>19</v>
      </c>
      <c r="I219" s="14">
        <v>73.503107999999997</v>
      </c>
      <c r="J219" s="31">
        <v>5</v>
      </c>
      <c r="K219" s="1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s="48" customFormat="1" ht="9.75" customHeight="1">
      <c r="A220" s="6" t="s">
        <v>510</v>
      </c>
      <c r="B220" s="31" t="s">
        <v>22</v>
      </c>
      <c r="C220" s="14">
        <v>29.813195999999994</v>
      </c>
      <c r="D220" s="31">
        <v>5</v>
      </c>
      <c r="E220" s="1"/>
      <c r="F220" s="1"/>
      <c r="G220" s="6" t="s">
        <v>511</v>
      </c>
      <c r="H220" s="31" t="s">
        <v>22</v>
      </c>
      <c r="I220" s="14">
        <v>89.439587999999986</v>
      </c>
      <c r="J220" s="31">
        <v>5</v>
      </c>
      <c r="K220" s="1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>
      <c r="A221" s="6" t="s">
        <v>512</v>
      </c>
      <c r="B221" s="31" t="s">
        <v>25</v>
      </c>
      <c r="C221" s="14">
        <v>29.813195999999994</v>
      </c>
      <c r="D221" s="31">
        <v>5</v>
      </c>
      <c r="E221" s="1"/>
      <c r="F221" s="1"/>
      <c r="G221" s="6" t="s">
        <v>513</v>
      </c>
      <c r="H221" s="31" t="s">
        <v>25</v>
      </c>
      <c r="I221" s="14">
        <v>89.439587999999986</v>
      </c>
      <c r="J221" s="31">
        <v>5</v>
      </c>
      <c r="K221" s="1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>
      <c r="A222" s="6">
        <v>0</v>
      </c>
      <c r="B222" s="31" t="s">
        <v>28</v>
      </c>
      <c r="C222" s="14">
        <v>41.999915999999999</v>
      </c>
      <c r="D222" s="31">
        <v>2</v>
      </c>
      <c r="E222" s="1"/>
      <c r="F222" s="1"/>
      <c r="G222" s="6">
        <v>0</v>
      </c>
      <c r="H222" s="31" t="s">
        <v>28</v>
      </c>
      <c r="I222" s="14">
        <v>125.999748</v>
      </c>
      <c r="J222" s="31">
        <v>2</v>
      </c>
      <c r="K222" s="1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6" t="s">
        <v>514</v>
      </c>
      <c r="B223" s="31" t="s">
        <v>31</v>
      </c>
      <c r="C223" s="14">
        <v>53.100351359999991</v>
      </c>
      <c r="D223" s="31">
        <v>2</v>
      </c>
      <c r="E223" s="1"/>
      <c r="F223" s="1"/>
      <c r="G223" s="6" t="s">
        <v>515</v>
      </c>
      <c r="H223" s="31" t="s">
        <v>31</v>
      </c>
      <c r="I223" s="14">
        <v>159.30105407999997</v>
      </c>
      <c r="J223" s="31">
        <v>2</v>
      </c>
      <c r="K223" s="1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>
      <c r="A224" s="6" t="s">
        <v>816</v>
      </c>
      <c r="B224" s="31" t="s">
        <v>34</v>
      </c>
      <c r="C224" s="14">
        <v>87.4</v>
      </c>
      <c r="D224" s="31">
        <v>1</v>
      </c>
      <c r="E224" s="1"/>
      <c r="F224" s="1"/>
      <c r="G224" s="6" t="s">
        <v>817</v>
      </c>
      <c r="H224" s="31" t="s">
        <v>34</v>
      </c>
      <c r="I224" s="14">
        <v>246.2</v>
      </c>
      <c r="J224" s="31">
        <v>1</v>
      </c>
      <c r="K224" s="1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>
      <c r="E225" s="1"/>
      <c r="F225" s="1"/>
      <c r="G225" s="1"/>
      <c r="H225" s="1"/>
      <c r="I225" s="1"/>
      <c r="J225" s="2"/>
      <c r="K225" s="1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>
      <c r="A226" s="58" t="s">
        <v>516</v>
      </c>
      <c r="B226" s="59"/>
      <c r="C226" s="59"/>
      <c r="D226" s="59"/>
      <c r="E226" s="1"/>
      <c r="F226" s="1"/>
      <c r="G226" s="58" t="s">
        <v>517</v>
      </c>
      <c r="H226" s="59"/>
      <c r="I226" s="59"/>
      <c r="J226" s="59"/>
      <c r="K226" s="1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>
      <c r="A227" s="59"/>
      <c r="B227" s="59"/>
      <c r="C227" s="59"/>
      <c r="D227" s="59"/>
      <c r="E227" s="1"/>
      <c r="F227" s="1"/>
      <c r="G227" s="56"/>
      <c r="H227" s="56"/>
      <c r="I227" s="56"/>
      <c r="J227" s="56"/>
      <c r="K227" s="1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>
      <c r="A228" s="4" t="s">
        <v>2</v>
      </c>
      <c r="B228" s="4" t="s">
        <v>3</v>
      </c>
      <c r="C228" s="5" t="s">
        <v>171</v>
      </c>
      <c r="D228" s="15"/>
      <c r="E228" s="1"/>
      <c r="F228" s="1"/>
      <c r="G228" s="4" t="s">
        <v>2</v>
      </c>
      <c r="H228" s="4" t="s">
        <v>3</v>
      </c>
      <c r="I228" s="5" t="s">
        <v>171</v>
      </c>
      <c r="J228" s="2"/>
      <c r="K228" s="1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>
      <c r="A229" s="13" t="s">
        <v>518</v>
      </c>
      <c r="B229" s="4" t="s">
        <v>7</v>
      </c>
      <c r="C229" s="7" t="s">
        <v>519</v>
      </c>
      <c r="D229" s="16"/>
      <c r="E229" s="1"/>
      <c r="F229" s="1"/>
      <c r="G229" s="13" t="s">
        <v>520</v>
      </c>
      <c r="H229" s="4" t="s">
        <v>7</v>
      </c>
      <c r="I229" s="14" t="s">
        <v>521</v>
      </c>
      <c r="J229" s="2"/>
      <c r="K229" s="1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>
      <c r="A230" s="13" t="s">
        <v>522</v>
      </c>
      <c r="B230" s="4" t="s">
        <v>10</v>
      </c>
      <c r="C230" s="7" t="s">
        <v>523</v>
      </c>
      <c r="D230" s="16"/>
      <c r="E230" s="1"/>
      <c r="F230" s="1"/>
      <c r="G230" s="13" t="s">
        <v>524</v>
      </c>
      <c r="H230" s="4" t="s">
        <v>10</v>
      </c>
      <c r="I230" s="14" t="s">
        <v>525</v>
      </c>
      <c r="J230" s="2"/>
      <c r="K230" s="1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>
      <c r="A231" s="13" t="s">
        <v>526</v>
      </c>
      <c r="B231" s="4" t="s">
        <v>13</v>
      </c>
      <c r="C231" s="7" t="s">
        <v>527</v>
      </c>
      <c r="D231" s="16"/>
      <c r="E231" s="1"/>
      <c r="F231" s="1"/>
      <c r="G231" s="13" t="s">
        <v>528</v>
      </c>
      <c r="H231" s="4" t="s">
        <v>13</v>
      </c>
      <c r="I231" s="14" t="s">
        <v>316</v>
      </c>
      <c r="J231" s="2"/>
      <c r="K231" s="1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>
      <c r="A232" s="13" t="s">
        <v>529</v>
      </c>
      <c r="B232" s="4" t="s">
        <v>16</v>
      </c>
      <c r="C232" s="7" t="s">
        <v>530</v>
      </c>
      <c r="D232" s="16"/>
      <c r="E232" s="1"/>
      <c r="F232" s="1"/>
      <c r="G232" s="13" t="s">
        <v>531</v>
      </c>
      <c r="H232" s="4" t="s">
        <v>16</v>
      </c>
      <c r="I232" s="14" t="s">
        <v>532</v>
      </c>
      <c r="J232" s="2"/>
      <c r="K232" s="1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>
      <c r="A233" s="13" t="s">
        <v>533</v>
      </c>
      <c r="B233" s="4" t="s">
        <v>185</v>
      </c>
      <c r="C233" s="7" t="s">
        <v>534</v>
      </c>
      <c r="D233" s="16"/>
      <c r="E233" s="1"/>
      <c r="F233" s="1"/>
      <c r="G233" s="13" t="s">
        <v>535</v>
      </c>
      <c r="H233" s="4" t="s">
        <v>188</v>
      </c>
      <c r="I233" s="14">
        <v>23.79</v>
      </c>
      <c r="J233" s="2"/>
      <c r="K233" s="1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>
      <c r="A234" s="13" t="s">
        <v>536</v>
      </c>
      <c r="B234" s="4" t="s">
        <v>25</v>
      </c>
      <c r="C234" s="7" t="s">
        <v>534</v>
      </c>
      <c r="D234" s="16"/>
      <c r="E234" s="1"/>
      <c r="F234" s="1"/>
      <c r="G234" s="13" t="s">
        <v>537</v>
      </c>
      <c r="H234" s="4" t="s">
        <v>31</v>
      </c>
      <c r="I234" s="14" t="s">
        <v>538</v>
      </c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>
      <c r="A235" s="13" t="s">
        <v>539</v>
      </c>
      <c r="B235" s="4" t="s">
        <v>28</v>
      </c>
      <c r="C235" s="7" t="s">
        <v>540</v>
      </c>
      <c r="D235" s="16"/>
      <c r="E235" s="1"/>
      <c r="F235" s="1"/>
      <c r="G235" s="13" t="s">
        <v>541</v>
      </c>
      <c r="H235" s="4" t="s">
        <v>34</v>
      </c>
      <c r="I235" s="14" t="s">
        <v>542</v>
      </c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>
      <c r="A236" s="13" t="s">
        <v>543</v>
      </c>
      <c r="B236" s="4" t="s">
        <v>31</v>
      </c>
      <c r="C236" s="7" t="s">
        <v>544</v>
      </c>
      <c r="D236" s="16"/>
      <c r="E236" s="1"/>
      <c r="F236" s="1"/>
      <c r="G236" s="1"/>
      <c r="H236" s="1"/>
      <c r="I236" s="1"/>
      <c r="J236" s="2"/>
      <c r="K236" s="1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>
      <c r="A237" s="13" t="s">
        <v>545</v>
      </c>
      <c r="B237" s="4" t="s">
        <v>34</v>
      </c>
      <c r="C237" s="7" t="s">
        <v>546</v>
      </c>
      <c r="D237" s="16"/>
      <c r="E237" s="1"/>
      <c r="F237" s="1"/>
      <c r="I237" s="52" t="s">
        <v>547</v>
      </c>
      <c r="J237" s="53"/>
      <c r="K237" s="5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>
      <c r="A238" s="13" t="s">
        <v>548</v>
      </c>
      <c r="B238" s="4" t="s">
        <v>37</v>
      </c>
      <c r="C238" s="7" t="s">
        <v>549</v>
      </c>
      <c r="D238" s="16"/>
      <c r="E238" s="1"/>
      <c r="F238" s="1"/>
      <c r="G238" s="1"/>
      <c r="H238" s="1"/>
      <c r="I238" s="55"/>
      <c r="J238" s="56"/>
      <c r="K238" s="5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>
      <c r="I239" s="52" t="s">
        <v>550</v>
      </c>
      <c r="J239" s="53"/>
      <c r="K239" s="5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>
      <c r="E240" s="1"/>
      <c r="F240" s="1"/>
      <c r="G240" s="1"/>
      <c r="H240" s="1"/>
      <c r="I240" s="55"/>
      <c r="J240" s="56"/>
      <c r="K240" s="5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>
      <c r="E241" s="1"/>
      <c r="F241" s="1"/>
      <c r="G241" s="1"/>
      <c r="H241" s="1"/>
      <c r="I241" s="1"/>
      <c r="J241" s="2"/>
      <c r="K241" s="1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>
      <c r="A242" s="58" t="s">
        <v>551</v>
      </c>
      <c r="B242" s="59"/>
      <c r="C242" s="59"/>
      <c r="D242" s="59"/>
      <c r="F242" s="58" t="s">
        <v>552</v>
      </c>
      <c r="G242" s="59"/>
      <c r="H242" s="59"/>
      <c r="I242" s="59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>
      <c r="A243" s="56"/>
      <c r="B243" s="56"/>
      <c r="C243" s="56"/>
      <c r="D243" s="56"/>
      <c r="F243" s="59"/>
      <c r="G243" s="59"/>
      <c r="H243" s="59"/>
      <c r="I243" s="59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>
      <c r="A244" s="4" t="s">
        <v>2</v>
      </c>
      <c r="B244" s="4" t="s">
        <v>3</v>
      </c>
      <c r="C244" s="5" t="s">
        <v>208</v>
      </c>
      <c r="D244" s="4" t="s">
        <v>5</v>
      </c>
      <c r="F244" s="4" t="s">
        <v>2</v>
      </c>
      <c r="G244" s="4" t="s">
        <v>3</v>
      </c>
      <c r="H244" s="5" t="s">
        <v>208</v>
      </c>
      <c r="I244" s="4" t="s">
        <v>5</v>
      </c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>
      <c r="A245" s="28">
        <v>647</v>
      </c>
      <c r="B245" s="29" t="s">
        <v>553</v>
      </c>
      <c r="C245" s="30">
        <v>1</v>
      </c>
      <c r="D245" s="4">
        <v>500</v>
      </c>
      <c r="F245" s="28">
        <v>831</v>
      </c>
      <c r="G245" s="29" t="s">
        <v>553</v>
      </c>
      <c r="H245" s="7">
        <v>1.1454</v>
      </c>
      <c r="I245" s="4">
        <v>500</v>
      </c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>
      <c r="A246" s="28">
        <v>690</v>
      </c>
      <c r="B246" s="29" t="s">
        <v>554</v>
      </c>
      <c r="C246" s="30">
        <v>1.2681464678400001</v>
      </c>
      <c r="D246" s="4">
        <v>500</v>
      </c>
      <c r="F246" s="28">
        <v>874</v>
      </c>
      <c r="G246" s="29" t="s">
        <v>554</v>
      </c>
      <c r="H246" s="7">
        <v>1.41354646784</v>
      </c>
      <c r="I246" s="4">
        <v>500</v>
      </c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>
      <c r="A247" s="28">
        <v>644</v>
      </c>
      <c r="B247" s="29" t="s">
        <v>555</v>
      </c>
      <c r="C247" s="30">
        <v>1.2934043750400002</v>
      </c>
      <c r="D247" s="4">
        <v>250</v>
      </c>
      <c r="F247" s="28">
        <v>828</v>
      </c>
      <c r="G247" s="29" t="s">
        <v>555</v>
      </c>
      <c r="H247" s="7">
        <v>1.4388043750400001</v>
      </c>
      <c r="I247" s="4">
        <v>250</v>
      </c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>
      <c r="A248" s="28">
        <v>641</v>
      </c>
      <c r="B248" s="29" t="s">
        <v>556</v>
      </c>
      <c r="C248" s="30">
        <v>1.31697842176</v>
      </c>
      <c r="D248" s="4">
        <v>250</v>
      </c>
      <c r="F248" s="28">
        <v>825</v>
      </c>
      <c r="G248" s="29" t="s">
        <v>556</v>
      </c>
      <c r="H248" s="7">
        <v>1.46237842176</v>
      </c>
      <c r="I248" s="4">
        <v>250</v>
      </c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>
      <c r="A249" s="28">
        <v>638</v>
      </c>
      <c r="B249" s="29" t="s">
        <v>557</v>
      </c>
      <c r="C249" s="30">
        <v>1.3439201894400001</v>
      </c>
      <c r="D249" s="4">
        <v>250</v>
      </c>
      <c r="F249" s="28">
        <v>822</v>
      </c>
      <c r="G249" s="29" t="s">
        <v>557</v>
      </c>
      <c r="H249" s="7">
        <v>1.4893201894400001</v>
      </c>
      <c r="I249" s="4">
        <v>250</v>
      </c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>
      <c r="A250" s="28">
        <v>677</v>
      </c>
      <c r="B250" s="29" t="s">
        <v>558</v>
      </c>
      <c r="C250" s="30">
        <v>1.43821637632</v>
      </c>
      <c r="D250" s="4">
        <v>250</v>
      </c>
      <c r="F250" s="28">
        <v>861</v>
      </c>
      <c r="G250" s="29" t="s">
        <v>558</v>
      </c>
      <c r="H250" s="7">
        <v>1.58361637632</v>
      </c>
      <c r="I250" s="4">
        <v>250</v>
      </c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>
      <c r="A251" s="13" t="s">
        <v>559</v>
      </c>
      <c r="B251" s="29" t="s">
        <v>560</v>
      </c>
      <c r="C251" s="30">
        <v>1.4870483302400002</v>
      </c>
      <c r="D251" s="4">
        <v>250</v>
      </c>
      <c r="F251" s="28">
        <v>857</v>
      </c>
      <c r="G251" s="29" t="s">
        <v>560</v>
      </c>
      <c r="H251" s="7">
        <v>1.6324483302400001</v>
      </c>
      <c r="I251" s="4">
        <v>250</v>
      </c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>
      <c r="A252" s="13" t="s">
        <v>561</v>
      </c>
      <c r="B252" s="29" t="s">
        <v>562</v>
      </c>
      <c r="C252" s="30">
        <v>1.5510350284800003</v>
      </c>
      <c r="D252" s="4">
        <v>250</v>
      </c>
      <c r="F252" s="28">
        <v>871</v>
      </c>
      <c r="G252" s="29" t="s">
        <v>562</v>
      </c>
      <c r="H252" s="7">
        <v>1.6964350284800003</v>
      </c>
      <c r="I252" s="4">
        <v>250</v>
      </c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>
      <c r="A253" s="13" t="s">
        <v>563</v>
      </c>
      <c r="B253" s="29" t="s">
        <v>564</v>
      </c>
      <c r="C253" s="30">
        <v>1.6032347033600001</v>
      </c>
      <c r="D253" s="4">
        <v>200</v>
      </c>
      <c r="F253" s="28">
        <v>684</v>
      </c>
      <c r="G253" s="29" t="s">
        <v>564</v>
      </c>
      <c r="H253" s="7">
        <v>1.74863470336</v>
      </c>
      <c r="I253" s="4">
        <v>200</v>
      </c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>
      <c r="A254" s="13" t="s">
        <v>565</v>
      </c>
      <c r="B254" s="29" t="s">
        <v>566</v>
      </c>
      <c r="C254" s="30">
        <v>1.6773245644800001</v>
      </c>
      <c r="D254" s="4">
        <v>200</v>
      </c>
      <c r="F254" s="28">
        <v>880</v>
      </c>
      <c r="G254" s="29" t="s">
        <v>566</v>
      </c>
      <c r="H254" s="7">
        <v>1.8227245644800001</v>
      </c>
      <c r="I254" s="4">
        <v>200</v>
      </c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>
      <c r="A255" s="13" t="s">
        <v>567</v>
      </c>
      <c r="B255" s="29" t="s">
        <v>568</v>
      </c>
      <c r="C255" s="30">
        <v>1.40670220288</v>
      </c>
      <c r="D255" s="4">
        <v>250</v>
      </c>
      <c r="F255" s="28">
        <v>833</v>
      </c>
      <c r="G255" s="29" t="s">
        <v>568</v>
      </c>
      <c r="H255" s="7">
        <v>1.61670220288</v>
      </c>
      <c r="I255" s="4">
        <v>250</v>
      </c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>
      <c r="A256" s="13" t="s">
        <v>569</v>
      </c>
      <c r="B256" s="29" t="s">
        <v>570</v>
      </c>
      <c r="C256" s="30">
        <v>1.4584542873599999</v>
      </c>
      <c r="D256" s="4">
        <v>250</v>
      </c>
      <c r="F256" s="28">
        <v>876</v>
      </c>
      <c r="G256" s="29" t="s">
        <v>570</v>
      </c>
      <c r="H256" s="7">
        <v>1.6684542873599999</v>
      </c>
      <c r="I256" s="4">
        <v>250</v>
      </c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>
      <c r="A257" s="13" t="s">
        <v>571</v>
      </c>
      <c r="B257" s="29" t="s">
        <v>572</v>
      </c>
      <c r="C257" s="30">
        <v>1.4993111961599999</v>
      </c>
      <c r="D257" s="4">
        <v>250</v>
      </c>
      <c r="F257" s="28">
        <v>830</v>
      </c>
      <c r="G257" s="29" t="s">
        <v>572</v>
      </c>
      <c r="H257" s="7">
        <v>1.7093111961599998</v>
      </c>
      <c r="I257" s="4">
        <v>250</v>
      </c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>
      <c r="A258" s="13" t="s">
        <v>573</v>
      </c>
      <c r="B258" s="29" t="s">
        <v>574</v>
      </c>
      <c r="C258" s="30">
        <v>1.5374443110399998</v>
      </c>
      <c r="D258" s="4">
        <v>250</v>
      </c>
      <c r="F258" s="28">
        <v>827</v>
      </c>
      <c r="G258" s="29" t="s">
        <v>574</v>
      </c>
      <c r="H258" s="7">
        <v>1.7474443110399998</v>
      </c>
      <c r="I258" s="4">
        <v>250</v>
      </c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>
      <c r="A259" s="13" t="s">
        <v>575</v>
      </c>
      <c r="B259" s="29" t="s">
        <v>576</v>
      </c>
      <c r="C259" s="30">
        <v>1.5810250137599999</v>
      </c>
      <c r="D259" s="4">
        <v>250</v>
      </c>
      <c r="F259" s="28">
        <v>824</v>
      </c>
      <c r="G259" s="29" t="s">
        <v>576</v>
      </c>
      <c r="H259" s="7">
        <v>1.7910250137599999</v>
      </c>
      <c r="I259" s="4">
        <v>250</v>
      </c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>
      <c r="A260" s="28">
        <v>679</v>
      </c>
      <c r="B260" s="29" t="s">
        <v>577</v>
      </c>
      <c r="C260" s="30">
        <v>1.7335574732799999</v>
      </c>
      <c r="D260" s="4">
        <v>250</v>
      </c>
      <c r="F260" s="28">
        <v>863</v>
      </c>
      <c r="G260" s="29" t="s">
        <v>577</v>
      </c>
      <c r="H260" s="7">
        <v>1.9435574732799998</v>
      </c>
      <c r="I260" s="4">
        <v>250</v>
      </c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>
      <c r="A261" s="28">
        <v>4414</v>
      </c>
      <c r="B261" s="29" t="s">
        <v>578</v>
      </c>
      <c r="C261" s="30">
        <v>1.8125474969599999</v>
      </c>
      <c r="D261" s="4">
        <v>200</v>
      </c>
      <c r="F261" s="28">
        <v>859</v>
      </c>
      <c r="G261" s="29" t="s">
        <v>578</v>
      </c>
      <c r="H261" s="7">
        <v>2.0225474969600001</v>
      </c>
      <c r="I261" s="4">
        <v>200</v>
      </c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>
      <c r="A262" s="28">
        <v>689</v>
      </c>
      <c r="B262" s="29" t="s">
        <v>579</v>
      </c>
      <c r="C262" s="30">
        <v>1.91605166592</v>
      </c>
      <c r="D262" s="4">
        <v>200</v>
      </c>
      <c r="F262" s="28">
        <v>873</v>
      </c>
      <c r="G262" s="29" t="s">
        <v>579</v>
      </c>
      <c r="H262" s="7">
        <v>2.1260516659199999</v>
      </c>
      <c r="I262" s="4">
        <v>200</v>
      </c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>
      <c r="A263" s="28">
        <v>686</v>
      </c>
      <c r="B263" s="29" t="s">
        <v>580</v>
      </c>
      <c r="C263" s="30">
        <v>2.0004892774399998</v>
      </c>
      <c r="D263" s="4">
        <v>200</v>
      </c>
      <c r="F263" s="28">
        <v>870</v>
      </c>
      <c r="G263" s="29" t="s">
        <v>580</v>
      </c>
      <c r="H263" s="7">
        <v>2.2104892774399998</v>
      </c>
      <c r="I263" s="4">
        <v>200</v>
      </c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>
      <c r="A264" s="28">
        <v>698</v>
      </c>
      <c r="B264" s="29" t="s">
        <v>581</v>
      </c>
      <c r="C264" s="30">
        <v>2.12033620992</v>
      </c>
      <c r="D264" s="4">
        <v>100</v>
      </c>
      <c r="F264" s="28">
        <v>882</v>
      </c>
      <c r="G264" s="29" t="s">
        <v>581</v>
      </c>
      <c r="H264" s="7">
        <v>2.33033620992</v>
      </c>
      <c r="I264" s="4">
        <v>100</v>
      </c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>
      <c r="A265" s="13" t="s">
        <v>582</v>
      </c>
      <c r="B265" s="29" t="s">
        <v>583</v>
      </c>
      <c r="C265" s="30">
        <v>1.8864168960000001</v>
      </c>
      <c r="D265" s="4">
        <v>250</v>
      </c>
      <c r="F265" s="28">
        <v>823</v>
      </c>
      <c r="G265" s="29" t="s">
        <v>583</v>
      </c>
      <c r="H265" s="7">
        <v>2.1740168959999999</v>
      </c>
      <c r="I265" s="4">
        <v>250</v>
      </c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>
      <c r="A266" s="13" t="s">
        <v>584</v>
      </c>
      <c r="B266" s="29" t="s">
        <v>585</v>
      </c>
      <c r="C266" s="30">
        <v>2.1139578880000003</v>
      </c>
      <c r="D266" s="4">
        <v>200</v>
      </c>
      <c r="F266" s="28">
        <v>862</v>
      </c>
      <c r="G266" s="29" t="s">
        <v>585</v>
      </c>
      <c r="H266" s="7">
        <v>2.4015578880000001</v>
      </c>
      <c r="I266" s="4">
        <v>200</v>
      </c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>
      <c r="A267" s="13" t="s">
        <v>586</v>
      </c>
      <c r="B267" s="29" t="s">
        <v>587</v>
      </c>
      <c r="C267" s="30">
        <v>2.2317916160000002</v>
      </c>
      <c r="D267" s="4">
        <v>150</v>
      </c>
      <c r="F267" s="28">
        <v>858</v>
      </c>
      <c r="G267" s="29" t="s">
        <v>587</v>
      </c>
      <c r="H267" s="7">
        <v>2.5193916160000001</v>
      </c>
      <c r="I267" s="4">
        <v>150</v>
      </c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>
      <c r="A268" s="13" t="s">
        <v>588</v>
      </c>
      <c r="B268" s="29" t="s">
        <v>589</v>
      </c>
      <c r="C268" s="30">
        <v>2.3861944319999999</v>
      </c>
      <c r="D268" s="4">
        <v>150</v>
      </c>
      <c r="F268" s="28">
        <v>872</v>
      </c>
      <c r="G268" s="29" t="s">
        <v>589</v>
      </c>
      <c r="H268" s="7">
        <v>2.6737944319999998</v>
      </c>
      <c r="I268" s="4">
        <v>150</v>
      </c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>
      <c r="A269" s="13" t="s">
        <v>590</v>
      </c>
      <c r="B269" s="29" t="s">
        <v>591</v>
      </c>
      <c r="C269" s="30">
        <v>2.5121546240000003</v>
      </c>
      <c r="D269" s="4">
        <v>150</v>
      </c>
      <c r="F269" s="28">
        <v>869</v>
      </c>
      <c r="G269" s="29" t="s">
        <v>591</v>
      </c>
      <c r="H269" s="7">
        <v>2.7997546240000002</v>
      </c>
      <c r="I269" s="4">
        <v>150</v>
      </c>
      <c r="J269" s="2"/>
      <c r="K269" s="1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>
      <c r="A270" s="13" t="s">
        <v>592</v>
      </c>
      <c r="B270" s="29" t="s">
        <v>593</v>
      </c>
      <c r="C270" s="30">
        <v>2.6909368320000002</v>
      </c>
      <c r="D270" s="4">
        <v>100</v>
      </c>
      <c r="F270" s="28">
        <v>881</v>
      </c>
      <c r="G270" s="29" t="s">
        <v>593</v>
      </c>
      <c r="H270" s="7">
        <v>2.9785368320000001</v>
      </c>
      <c r="I270" s="4">
        <v>100</v>
      </c>
      <c r="J270" s="2"/>
      <c r="K270" s="1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>
      <c r="A271" s="28">
        <v>701</v>
      </c>
      <c r="B271" s="29" t="s">
        <v>594</v>
      </c>
      <c r="C271" s="30">
        <v>3.0810071040000007</v>
      </c>
      <c r="D271" s="4">
        <v>100</v>
      </c>
      <c r="F271" s="28">
        <v>885</v>
      </c>
      <c r="G271" s="29" t="s">
        <v>594</v>
      </c>
      <c r="H271" s="7">
        <v>3.3686071040000005</v>
      </c>
      <c r="I271" s="4">
        <v>100</v>
      </c>
      <c r="J271" s="2"/>
      <c r="K271" s="1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>
      <c r="A272" s="28">
        <v>708</v>
      </c>
      <c r="B272" s="29" t="s">
        <v>595</v>
      </c>
      <c r="C272" s="30">
        <v>3.4710773760000002</v>
      </c>
      <c r="D272" s="31">
        <v>100</v>
      </c>
      <c r="F272" s="28">
        <v>892</v>
      </c>
      <c r="G272" s="29" t="s">
        <v>595</v>
      </c>
      <c r="H272" s="7">
        <v>3.7586773760000001</v>
      </c>
      <c r="I272" s="31">
        <v>100</v>
      </c>
      <c r="J272" s="2"/>
      <c r="K272" s="1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>
      <c r="A273" s="28">
        <v>713</v>
      </c>
      <c r="B273" s="29" t="s">
        <v>596</v>
      </c>
      <c r="C273" s="30">
        <v>3.9871078400000002</v>
      </c>
      <c r="D273" s="4">
        <v>50</v>
      </c>
      <c r="F273" s="28">
        <v>897</v>
      </c>
      <c r="G273" s="29" t="s">
        <v>596</v>
      </c>
      <c r="H273" s="7">
        <v>4.2747078400000005</v>
      </c>
      <c r="I273" s="4">
        <v>50</v>
      </c>
      <c r="J273" s="2"/>
      <c r="K273" s="1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>
      <c r="A274" s="28">
        <v>654</v>
      </c>
      <c r="B274" s="29" t="s">
        <v>597</v>
      </c>
      <c r="C274" s="30">
        <v>4.6453514240000002</v>
      </c>
      <c r="D274" s="4">
        <v>25</v>
      </c>
      <c r="F274" s="28">
        <v>838</v>
      </c>
      <c r="G274" s="29" t="s">
        <v>597</v>
      </c>
      <c r="H274" s="7">
        <v>4.9329514240000005</v>
      </c>
      <c r="I274" s="4">
        <v>25</v>
      </c>
      <c r="J274" s="2"/>
      <c r="K274" s="1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>
      <c r="A275" s="28">
        <v>659</v>
      </c>
      <c r="B275" s="29" t="s">
        <v>598</v>
      </c>
      <c r="C275" s="30">
        <v>4.998852608</v>
      </c>
      <c r="D275" s="4">
        <v>10</v>
      </c>
      <c r="F275" s="28">
        <v>843</v>
      </c>
      <c r="G275" s="29" t="s">
        <v>598</v>
      </c>
      <c r="H275" s="7">
        <v>5.2864526080000003</v>
      </c>
      <c r="I275" s="4">
        <v>10</v>
      </c>
      <c r="J275" s="2"/>
      <c r="K275" s="1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>
      <c r="A276" s="28">
        <v>675</v>
      </c>
      <c r="B276" s="29" t="s">
        <v>599</v>
      </c>
      <c r="C276" s="30">
        <v>4.4643224780799997</v>
      </c>
      <c r="D276" s="4">
        <v>100</v>
      </c>
      <c r="F276" s="28">
        <v>3498</v>
      </c>
      <c r="G276" s="29" t="s">
        <v>599</v>
      </c>
      <c r="H276" s="7">
        <v>5.2765224780799995</v>
      </c>
      <c r="I276" s="4">
        <v>100</v>
      </c>
      <c r="J276" s="2"/>
      <c r="K276" s="1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>
      <c r="A277" s="28">
        <v>671</v>
      </c>
      <c r="B277" s="29" t="s">
        <v>600</v>
      </c>
      <c r="C277" s="30">
        <v>4.6751159705599994</v>
      </c>
      <c r="D277" s="4">
        <v>100</v>
      </c>
      <c r="F277" s="28">
        <v>3494</v>
      </c>
      <c r="G277" s="29" t="s">
        <v>600</v>
      </c>
      <c r="H277" s="7">
        <v>5.4873159705599992</v>
      </c>
      <c r="I277" s="4">
        <v>100</v>
      </c>
      <c r="J277" s="2"/>
      <c r="K277" s="1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>
      <c r="A278" s="28">
        <v>6729</v>
      </c>
      <c r="B278" s="29" t="s">
        <v>601</v>
      </c>
      <c r="C278" s="30">
        <v>4.9513281331199996</v>
      </c>
      <c r="D278" s="4">
        <v>100</v>
      </c>
      <c r="F278" s="28">
        <v>5525</v>
      </c>
      <c r="G278" s="29" t="s">
        <v>601</v>
      </c>
      <c r="H278" s="7">
        <v>5.7635281331199995</v>
      </c>
      <c r="I278" s="4">
        <v>100</v>
      </c>
      <c r="J278" s="2"/>
      <c r="K278" s="1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>
      <c r="A279" s="28">
        <v>4473</v>
      </c>
      <c r="B279" s="29" t="s">
        <v>602</v>
      </c>
      <c r="C279" s="30">
        <v>5.1766591078399999</v>
      </c>
      <c r="D279" s="4">
        <v>100</v>
      </c>
      <c r="F279" s="28">
        <v>682</v>
      </c>
      <c r="G279" s="29" t="s">
        <v>602</v>
      </c>
      <c r="H279" s="7">
        <v>5.9888591078399998</v>
      </c>
      <c r="I279" s="4">
        <v>100</v>
      </c>
      <c r="J279" s="2"/>
      <c r="K279" s="1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>
      <c r="A280" s="28">
        <v>694</v>
      </c>
      <c r="B280" s="29" t="s">
        <v>603</v>
      </c>
      <c r="C280" s="30">
        <v>5.4964837171199994</v>
      </c>
      <c r="D280" s="4">
        <v>50</v>
      </c>
      <c r="F280" s="28">
        <v>3503</v>
      </c>
      <c r="G280" s="29" t="s">
        <v>603</v>
      </c>
      <c r="H280" s="7">
        <v>6.3086837171199992</v>
      </c>
      <c r="I280" s="4">
        <v>50</v>
      </c>
      <c r="J280" s="2"/>
      <c r="K280" s="1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>
      <c r="A281" s="13" t="s">
        <v>604</v>
      </c>
      <c r="B281" s="29" t="s">
        <v>605</v>
      </c>
      <c r="C281" s="30">
        <v>6.1942828646399999</v>
      </c>
      <c r="D281" s="4">
        <v>50</v>
      </c>
      <c r="F281" s="28">
        <v>3506</v>
      </c>
      <c r="G281" s="29" t="s">
        <v>605</v>
      </c>
      <c r="H281" s="7">
        <v>7.0064828646399997</v>
      </c>
      <c r="I281" s="4">
        <v>50</v>
      </c>
      <c r="J281" s="2"/>
      <c r="K281" s="1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>
      <c r="A282" s="28">
        <v>704</v>
      </c>
      <c r="B282" s="29" t="s">
        <v>606</v>
      </c>
      <c r="C282" s="30">
        <v>6.8920820121600004</v>
      </c>
      <c r="D282" s="4">
        <v>50</v>
      </c>
      <c r="F282" s="28">
        <v>3510</v>
      </c>
      <c r="G282" s="29" t="s">
        <v>606</v>
      </c>
      <c r="H282" s="7">
        <v>7.7042820121600002</v>
      </c>
      <c r="I282" s="4">
        <v>50</v>
      </c>
      <c r="J282" s="2"/>
      <c r="K282" s="1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>
      <c r="A283" s="28">
        <v>710</v>
      </c>
      <c r="B283" s="29" t="s">
        <v>607</v>
      </c>
      <c r="C283" s="30">
        <v>7.8152121343999994</v>
      </c>
      <c r="D283" s="4">
        <v>25</v>
      </c>
      <c r="F283" s="28">
        <v>3512</v>
      </c>
      <c r="G283" s="29" t="s">
        <v>607</v>
      </c>
      <c r="H283" s="7">
        <v>8.6274121344000001</v>
      </c>
      <c r="I283" s="4">
        <v>25</v>
      </c>
      <c r="J283" s="2"/>
      <c r="K283" s="1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>
      <c r="A284" s="28">
        <v>651</v>
      </c>
      <c r="B284" s="29" t="s">
        <v>608</v>
      </c>
      <c r="C284" s="30">
        <v>8.9927481958399991</v>
      </c>
      <c r="D284" s="4">
        <v>25</v>
      </c>
      <c r="F284" s="28">
        <v>3487</v>
      </c>
      <c r="G284" s="29" t="s">
        <v>608</v>
      </c>
      <c r="H284" s="7">
        <v>9.8049481958399998</v>
      </c>
      <c r="I284" s="4">
        <v>25</v>
      </c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>
      <c r="A285" s="28">
        <v>656</v>
      </c>
      <c r="B285" s="29" t="s">
        <v>609</v>
      </c>
      <c r="C285" s="30">
        <v>9.625128673279999</v>
      </c>
      <c r="D285" s="4">
        <v>10</v>
      </c>
      <c r="F285" s="28">
        <v>3488</v>
      </c>
      <c r="G285" s="29" t="s">
        <v>609</v>
      </c>
      <c r="H285" s="7">
        <v>10.43732867328</v>
      </c>
      <c r="I285" s="4">
        <v>10</v>
      </c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>
      <c r="A286" s="13" t="s">
        <v>610</v>
      </c>
      <c r="B286" s="29" t="s">
        <v>611</v>
      </c>
      <c r="C286" s="30">
        <v>12.000857512345602</v>
      </c>
      <c r="D286" s="28">
        <v>25</v>
      </c>
      <c r="F286" s="28">
        <v>894</v>
      </c>
      <c r="G286" s="29" t="s">
        <v>611</v>
      </c>
      <c r="H286" s="7">
        <v>13.574257512345602</v>
      </c>
      <c r="I286" s="28">
        <v>25</v>
      </c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>
      <c r="A287" s="13" t="s">
        <v>612</v>
      </c>
      <c r="B287" s="29" t="s">
        <v>613</v>
      </c>
      <c r="C287" s="30">
        <v>13.645046677504002</v>
      </c>
      <c r="D287" s="28">
        <v>25</v>
      </c>
      <c r="F287" s="28">
        <v>899</v>
      </c>
      <c r="G287" s="29" t="s">
        <v>613</v>
      </c>
      <c r="H287" s="7">
        <v>15.218446677504001</v>
      </c>
      <c r="I287" s="28">
        <v>25</v>
      </c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>
      <c r="A288" s="13" t="s">
        <v>614</v>
      </c>
      <c r="B288" s="29" t="s">
        <v>615</v>
      </c>
      <c r="C288" s="30">
        <v>15.742358840934401</v>
      </c>
      <c r="D288" s="28">
        <v>15</v>
      </c>
      <c r="F288" s="28">
        <v>839</v>
      </c>
      <c r="G288" s="29" t="s">
        <v>615</v>
      </c>
      <c r="H288" s="7">
        <v>17.3157588409344</v>
      </c>
      <c r="I288" s="28">
        <v>15</v>
      </c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>
      <c r="A289" s="13" t="s">
        <v>616</v>
      </c>
      <c r="B289" s="29" t="s">
        <v>617</v>
      </c>
      <c r="C289" s="30">
        <v>16.868693150924802</v>
      </c>
      <c r="D289" s="28">
        <v>15</v>
      </c>
      <c r="F289" s="28">
        <v>844</v>
      </c>
      <c r="G289" s="29" t="s">
        <v>617</v>
      </c>
      <c r="H289" s="7">
        <v>18.442093150924801</v>
      </c>
      <c r="I289" s="28">
        <v>15</v>
      </c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>
      <c r="A290" s="10"/>
      <c r="B290" s="32"/>
      <c r="C290" s="33"/>
      <c r="D290" s="1"/>
      <c r="F290" s="11"/>
      <c r="G290" s="32"/>
      <c r="H290" s="33"/>
      <c r="I290" s="17"/>
      <c r="J290" s="17"/>
      <c r="K290" s="1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>
      <c r="A291" s="58" t="s">
        <v>618</v>
      </c>
      <c r="B291" s="59"/>
      <c r="C291" s="59"/>
      <c r="D291" s="59"/>
      <c r="F291" s="58" t="s">
        <v>619</v>
      </c>
      <c r="G291" s="59"/>
      <c r="H291" s="59"/>
      <c r="I291" s="59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>
      <c r="A292" s="56"/>
      <c r="B292" s="56"/>
      <c r="C292" s="56"/>
      <c r="D292" s="56"/>
      <c r="F292" s="59"/>
      <c r="G292" s="59"/>
      <c r="H292" s="59"/>
      <c r="I292" s="59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>
      <c r="A293" s="4" t="s">
        <v>2</v>
      </c>
      <c r="B293" s="4" t="s">
        <v>3</v>
      </c>
      <c r="C293" s="5" t="s">
        <v>208</v>
      </c>
      <c r="D293" s="4" t="s">
        <v>5</v>
      </c>
      <c r="F293" s="4" t="s">
        <v>2</v>
      </c>
      <c r="G293" s="4" t="s">
        <v>3</v>
      </c>
      <c r="H293" s="5" t="s">
        <v>208</v>
      </c>
      <c r="I293" s="4" t="s">
        <v>5</v>
      </c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>
      <c r="A294" s="28">
        <v>755</v>
      </c>
      <c r="B294" s="29" t="s">
        <v>553</v>
      </c>
      <c r="C294" s="30">
        <v>2.2231911312000001</v>
      </c>
      <c r="D294" s="4">
        <v>500</v>
      </c>
      <c r="F294" s="28">
        <v>939</v>
      </c>
      <c r="G294" s="29" t="s">
        <v>553</v>
      </c>
      <c r="H294" s="7">
        <v>2.7871911312000002</v>
      </c>
      <c r="I294" s="4">
        <v>500</v>
      </c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>
      <c r="A295" s="28">
        <v>771</v>
      </c>
      <c r="B295" s="29" t="s">
        <v>554</v>
      </c>
      <c r="C295" s="30">
        <v>2.3806583963999999</v>
      </c>
      <c r="D295" s="4">
        <v>500</v>
      </c>
      <c r="F295" s="28">
        <v>955</v>
      </c>
      <c r="G295" s="29" t="s">
        <v>554</v>
      </c>
      <c r="H295" s="7">
        <v>2.9446583963999999</v>
      </c>
      <c r="I295" s="4">
        <v>500</v>
      </c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>
      <c r="A296" s="28">
        <v>751</v>
      </c>
      <c r="B296" s="29" t="s">
        <v>555</v>
      </c>
      <c r="C296" s="30">
        <v>2.5049746584000006</v>
      </c>
      <c r="D296" s="4">
        <v>250</v>
      </c>
      <c r="F296" s="28">
        <v>935</v>
      </c>
      <c r="G296" s="29" t="s">
        <v>555</v>
      </c>
      <c r="H296" s="7">
        <v>3.0689746584000006</v>
      </c>
      <c r="I296" s="4">
        <v>250</v>
      </c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>
      <c r="A297" s="28">
        <v>748</v>
      </c>
      <c r="B297" s="29" t="s">
        <v>556</v>
      </c>
      <c r="C297" s="30">
        <v>2.6210031695999998</v>
      </c>
      <c r="D297" s="4">
        <v>250</v>
      </c>
      <c r="F297" s="28">
        <v>932</v>
      </c>
      <c r="G297" s="29" t="s">
        <v>556</v>
      </c>
      <c r="H297" s="7">
        <v>3.1850031695999999</v>
      </c>
      <c r="I297" s="4">
        <v>250</v>
      </c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>
      <c r="A298" s="28">
        <v>744</v>
      </c>
      <c r="B298" s="29" t="s">
        <v>557</v>
      </c>
      <c r="C298" s="30">
        <v>2.7536071824000006</v>
      </c>
      <c r="D298" s="4">
        <v>250</v>
      </c>
      <c r="F298" s="28">
        <v>928</v>
      </c>
      <c r="G298" s="29" t="s">
        <v>557</v>
      </c>
      <c r="H298" s="7">
        <v>3.3176071824000006</v>
      </c>
      <c r="I298" s="4">
        <v>250</v>
      </c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>
      <c r="A299" s="28">
        <v>756</v>
      </c>
      <c r="B299" s="29" t="s">
        <v>568</v>
      </c>
      <c r="C299" s="30">
        <v>3.0626124047999994</v>
      </c>
      <c r="D299" s="4">
        <v>250</v>
      </c>
      <c r="F299" s="28">
        <v>940</v>
      </c>
      <c r="G299" s="29" t="s">
        <v>568</v>
      </c>
      <c r="H299" s="7">
        <v>3.8592124047999992</v>
      </c>
      <c r="I299" s="4">
        <v>250</v>
      </c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>
      <c r="A300" s="28">
        <v>773</v>
      </c>
      <c r="B300" s="29" t="s">
        <v>570</v>
      </c>
      <c r="C300" s="30">
        <v>3.3173296955999998</v>
      </c>
      <c r="D300" s="4">
        <v>250</v>
      </c>
      <c r="F300" s="28">
        <v>957</v>
      </c>
      <c r="G300" s="29" t="s">
        <v>570</v>
      </c>
      <c r="H300" s="7">
        <v>4.1139296955999995</v>
      </c>
      <c r="I300" s="4">
        <v>250</v>
      </c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>
      <c r="A301" s="28">
        <v>753</v>
      </c>
      <c r="B301" s="29" t="s">
        <v>572</v>
      </c>
      <c r="C301" s="30">
        <v>3.5184222936</v>
      </c>
      <c r="D301" s="4">
        <v>250</v>
      </c>
      <c r="F301" s="28">
        <v>937</v>
      </c>
      <c r="G301" s="29" t="s">
        <v>572</v>
      </c>
      <c r="H301" s="7">
        <v>4.3150222936000002</v>
      </c>
      <c r="I301" s="4">
        <v>250</v>
      </c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>
      <c r="A302" s="28">
        <v>750</v>
      </c>
      <c r="B302" s="29" t="s">
        <v>574</v>
      </c>
      <c r="C302" s="30">
        <v>3.7061087183999994</v>
      </c>
      <c r="D302" s="4">
        <v>250</v>
      </c>
      <c r="F302" s="28">
        <v>934</v>
      </c>
      <c r="G302" s="29" t="s">
        <v>574</v>
      </c>
      <c r="H302" s="7">
        <v>4.5027087183999992</v>
      </c>
      <c r="I302" s="4">
        <v>250</v>
      </c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>
      <c r="A303" s="28">
        <v>746</v>
      </c>
      <c r="B303" s="29" t="s">
        <v>576</v>
      </c>
      <c r="C303" s="30">
        <v>3.9206074896000001</v>
      </c>
      <c r="D303" s="4">
        <v>250</v>
      </c>
      <c r="F303" s="28">
        <v>3555</v>
      </c>
      <c r="G303" s="29" t="s">
        <v>576</v>
      </c>
      <c r="H303" s="7">
        <v>4.7172074895999998</v>
      </c>
      <c r="I303" s="4">
        <v>250</v>
      </c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>
      <c r="A304" s="28">
        <v>765</v>
      </c>
      <c r="B304" s="29" t="s">
        <v>577</v>
      </c>
      <c r="C304" s="30">
        <v>4.6713531887999995</v>
      </c>
      <c r="D304" s="4">
        <v>250</v>
      </c>
      <c r="F304" s="28">
        <v>949</v>
      </c>
      <c r="G304" s="29" t="s">
        <v>577</v>
      </c>
      <c r="H304" s="7">
        <v>5.4679531887999993</v>
      </c>
      <c r="I304" s="4">
        <v>250</v>
      </c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>
      <c r="A305" s="28">
        <v>762</v>
      </c>
      <c r="B305" s="29" t="s">
        <v>578</v>
      </c>
      <c r="C305" s="30">
        <v>5.0601322115999992</v>
      </c>
      <c r="D305" s="4">
        <v>200</v>
      </c>
      <c r="F305" s="28">
        <v>946</v>
      </c>
      <c r="G305" s="29" t="s">
        <v>578</v>
      </c>
      <c r="H305" s="7">
        <v>5.8567322115999989</v>
      </c>
      <c r="I305" s="4">
        <v>200</v>
      </c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>
      <c r="A306" s="28">
        <v>770</v>
      </c>
      <c r="B306" s="29" t="s">
        <v>579</v>
      </c>
      <c r="C306" s="30">
        <v>5.569566793199999</v>
      </c>
      <c r="D306" s="4">
        <v>200</v>
      </c>
      <c r="F306" s="28">
        <v>954</v>
      </c>
      <c r="G306" s="29" t="s">
        <v>579</v>
      </c>
      <c r="H306" s="7">
        <v>6.3661667931999988</v>
      </c>
      <c r="I306" s="4">
        <v>200</v>
      </c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>
      <c r="A307" s="28">
        <v>745</v>
      </c>
      <c r="B307" s="29" t="s">
        <v>583</v>
      </c>
      <c r="C307" s="30">
        <v>5.4237081600000012</v>
      </c>
      <c r="D307" s="4">
        <v>250</v>
      </c>
      <c r="F307" s="28">
        <v>929</v>
      </c>
      <c r="G307" s="29" t="s">
        <v>583</v>
      </c>
      <c r="H307" s="7">
        <v>6.5341081600000015</v>
      </c>
      <c r="I307" s="4">
        <v>250</v>
      </c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>
      <c r="A308" s="28">
        <v>764</v>
      </c>
      <c r="B308" s="29" t="s">
        <v>585</v>
      </c>
      <c r="C308" s="30">
        <v>6.54363648</v>
      </c>
      <c r="D308" s="4">
        <v>200</v>
      </c>
      <c r="F308" s="28">
        <v>948</v>
      </c>
      <c r="G308" s="29" t="s">
        <v>585</v>
      </c>
      <c r="H308" s="7">
        <v>7.6540364800000003</v>
      </c>
      <c r="I308" s="4">
        <v>200</v>
      </c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>
      <c r="A309" s="28">
        <v>761</v>
      </c>
      <c r="B309" s="29" t="s">
        <v>587</v>
      </c>
      <c r="C309" s="30">
        <v>7.1235993599999992</v>
      </c>
      <c r="D309" s="4">
        <v>150</v>
      </c>
      <c r="F309" s="28">
        <v>945</v>
      </c>
      <c r="G309" s="29" t="s">
        <v>587</v>
      </c>
      <c r="H309" s="7">
        <v>8.2339993599999985</v>
      </c>
      <c r="I309" s="4">
        <v>150</v>
      </c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>
      <c r="A310" s="28">
        <v>769</v>
      </c>
      <c r="B310" s="29" t="s">
        <v>589</v>
      </c>
      <c r="C310" s="30">
        <v>7.8835507199999988</v>
      </c>
      <c r="D310" s="4">
        <v>150</v>
      </c>
      <c r="F310" s="28">
        <v>953</v>
      </c>
      <c r="G310" s="29" t="s">
        <v>589</v>
      </c>
      <c r="H310" s="7">
        <v>8.9939507199999991</v>
      </c>
      <c r="I310" s="4">
        <v>150</v>
      </c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>
      <c r="A311" s="28">
        <v>767</v>
      </c>
      <c r="B311" s="29" t="s">
        <v>591</v>
      </c>
      <c r="C311" s="30">
        <v>8.5035110400000011</v>
      </c>
      <c r="D311" s="4">
        <v>150</v>
      </c>
      <c r="F311" s="28">
        <v>951</v>
      </c>
      <c r="G311" s="29" t="s">
        <v>591</v>
      </c>
      <c r="H311" s="7">
        <v>9.6139110400000014</v>
      </c>
      <c r="I311" s="4">
        <v>150</v>
      </c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>
      <c r="A312" s="28">
        <v>776</v>
      </c>
      <c r="B312" s="29" t="s">
        <v>593</v>
      </c>
      <c r="C312" s="30">
        <v>9.3834547199999996</v>
      </c>
      <c r="D312" s="4">
        <v>100</v>
      </c>
      <c r="F312" s="28">
        <v>960</v>
      </c>
      <c r="G312" s="29" t="s">
        <v>593</v>
      </c>
      <c r="H312" s="7">
        <v>10.49385472</v>
      </c>
      <c r="I312" s="4">
        <v>100</v>
      </c>
      <c r="J312" s="2"/>
      <c r="K312" s="1"/>
      <c r="L312" s="1"/>
      <c r="N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>
      <c r="A313" s="28">
        <v>4429</v>
      </c>
      <c r="B313" s="29" t="s">
        <v>594</v>
      </c>
      <c r="C313" s="30">
        <v>11.30333184</v>
      </c>
      <c r="D313" s="4">
        <v>100</v>
      </c>
      <c r="F313" s="28">
        <v>963</v>
      </c>
      <c r="G313" s="29" t="s">
        <v>594</v>
      </c>
      <c r="H313" s="7">
        <v>12.413731840000001</v>
      </c>
      <c r="I313" s="4">
        <v>100</v>
      </c>
      <c r="J313" s="2"/>
      <c r="K313" s="1"/>
      <c r="L313" s="1"/>
      <c r="N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>
      <c r="A314" s="28">
        <v>781</v>
      </c>
      <c r="B314" s="29" t="s">
        <v>595</v>
      </c>
      <c r="C314" s="30">
        <v>13.223208959999997</v>
      </c>
      <c r="D314" s="31">
        <v>100</v>
      </c>
      <c r="F314" s="28">
        <v>965</v>
      </c>
      <c r="G314" s="29" t="s">
        <v>595</v>
      </c>
      <c r="H314" s="7">
        <v>14.333608959999998</v>
      </c>
      <c r="I314" s="31">
        <v>100</v>
      </c>
      <c r="J314" s="2"/>
      <c r="K314" s="1"/>
      <c r="L314" s="1"/>
      <c r="N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>
      <c r="A315" s="28">
        <v>784</v>
      </c>
      <c r="B315" s="29" t="s">
        <v>596</v>
      </c>
      <c r="C315" s="30">
        <v>15.7630464</v>
      </c>
      <c r="D315" s="4">
        <v>50</v>
      </c>
      <c r="F315" s="28">
        <v>968</v>
      </c>
      <c r="G315" s="29" t="s">
        <v>596</v>
      </c>
      <c r="H315" s="7">
        <v>16.873446399999999</v>
      </c>
      <c r="I315" s="4">
        <v>50</v>
      </c>
      <c r="J315" s="2"/>
      <c r="K315" s="1"/>
      <c r="L315" s="1"/>
      <c r="N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>
      <c r="A316" s="28">
        <v>744</v>
      </c>
      <c r="B316" s="29" t="s">
        <v>603</v>
      </c>
      <c r="C316" s="30">
        <v>17.400505795199997</v>
      </c>
      <c r="D316" s="4">
        <v>50</v>
      </c>
      <c r="F316" s="28">
        <v>3543</v>
      </c>
      <c r="G316" s="29" t="s">
        <v>603</v>
      </c>
      <c r="H316" s="7">
        <v>19.740505795199997</v>
      </c>
      <c r="I316" s="4">
        <v>50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>
      <c r="A317" s="28">
        <v>777</v>
      </c>
      <c r="B317" s="29" t="s">
        <v>605</v>
      </c>
      <c r="C317" s="30">
        <v>20.834985974399999</v>
      </c>
      <c r="D317" s="4">
        <v>50</v>
      </c>
      <c r="F317" s="28">
        <v>3546</v>
      </c>
      <c r="G317" s="29" t="s">
        <v>605</v>
      </c>
      <c r="H317" s="7">
        <v>23.174985974399998</v>
      </c>
      <c r="I317" s="4">
        <v>50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>
      <c r="A318" s="28">
        <v>779</v>
      </c>
      <c r="B318" s="29" t="s">
        <v>606</v>
      </c>
      <c r="C318" s="30">
        <v>24.2694661536</v>
      </c>
      <c r="D318" s="4">
        <v>50</v>
      </c>
      <c r="F318" s="28">
        <v>3548</v>
      </c>
      <c r="G318" s="29" t="s">
        <v>606</v>
      </c>
      <c r="H318" s="7">
        <v>26.6094661536</v>
      </c>
      <c r="I318" s="4">
        <v>50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>
      <c r="A319" s="28">
        <v>782</v>
      </c>
      <c r="B319" s="29" t="s">
        <v>607</v>
      </c>
      <c r="C319" s="30">
        <v>28.812997224</v>
      </c>
      <c r="D319" s="4">
        <v>25</v>
      </c>
      <c r="F319" s="28">
        <v>3551</v>
      </c>
      <c r="G319" s="29" t="s">
        <v>607</v>
      </c>
      <c r="H319" s="7">
        <v>31.152997224</v>
      </c>
      <c r="I319" s="4">
        <v>25</v>
      </c>
      <c r="J319" s="61" t="s">
        <v>620</v>
      </c>
      <c r="K319" s="53"/>
      <c r="L319" s="5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>
      <c r="A320" s="28">
        <v>12355</v>
      </c>
      <c r="B320" s="29" t="s">
        <v>608</v>
      </c>
      <c r="C320" s="30">
        <v>34.608682526399996</v>
      </c>
      <c r="D320" s="4">
        <v>25</v>
      </c>
      <c r="F320" s="28">
        <v>12356</v>
      </c>
      <c r="G320" s="29" t="s">
        <v>608</v>
      </c>
      <c r="H320" s="7">
        <v>36.948682526399992</v>
      </c>
      <c r="I320" s="4">
        <v>25</v>
      </c>
      <c r="J320" s="56"/>
      <c r="K320" s="56"/>
      <c r="L320" s="56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>
      <c r="A321" s="28">
        <v>4421</v>
      </c>
      <c r="B321" s="29" t="s">
        <v>611</v>
      </c>
      <c r="C321" s="30">
        <v>42.979220568576004</v>
      </c>
      <c r="D321" s="31">
        <v>25</v>
      </c>
      <c r="F321" s="28">
        <v>966</v>
      </c>
      <c r="G321" s="29" t="s">
        <v>611</v>
      </c>
      <c r="H321" s="7">
        <v>47.761420568576</v>
      </c>
      <c r="I321" s="31">
        <v>25</v>
      </c>
      <c r="J321" s="62" t="s">
        <v>621</v>
      </c>
      <c r="K321" s="53"/>
      <c r="L321" s="5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>
      <c r="A322" s="28">
        <v>786</v>
      </c>
      <c r="B322" s="29" t="s">
        <v>613</v>
      </c>
      <c r="C322" s="30">
        <v>51.07171411584001</v>
      </c>
      <c r="D322" s="31">
        <v>25</v>
      </c>
      <c r="F322" s="28">
        <v>970</v>
      </c>
      <c r="G322" s="29" t="s">
        <v>613</v>
      </c>
      <c r="H322" s="7">
        <v>55.853914115840013</v>
      </c>
      <c r="I322" s="31">
        <v>25</v>
      </c>
      <c r="J322" s="59"/>
      <c r="K322" s="59"/>
      <c r="L322" s="5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>
      <c r="A323" s="11"/>
      <c r="B323" s="1"/>
      <c r="C323" s="2"/>
      <c r="D323" s="1"/>
      <c r="E323" s="1"/>
      <c r="F323" s="1"/>
      <c r="G323" s="1"/>
      <c r="H323" s="1"/>
      <c r="I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>
      <c r="A324" s="11"/>
      <c r="B324" s="1"/>
      <c r="C324" s="2"/>
      <c r="D324" s="1"/>
      <c r="E324" s="1"/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>
      <c r="A325" s="11"/>
      <c r="B325" s="1"/>
      <c r="C325" s="2"/>
      <c r="D325" s="1"/>
      <c r="E325" s="1"/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>
      <c r="A326" s="11"/>
      <c r="B326" s="1"/>
      <c r="C326" s="2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>
      <c r="A327" s="58" t="s">
        <v>622</v>
      </c>
      <c r="B327" s="59"/>
      <c r="C327" s="59"/>
      <c r="D327" s="59"/>
      <c r="E327" s="1"/>
      <c r="F327" s="1"/>
      <c r="G327" s="1"/>
      <c r="H327" s="58" t="s">
        <v>623</v>
      </c>
      <c r="I327" s="59"/>
      <c r="J327" s="59"/>
      <c r="K327" s="59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>
      <c r="A328" s="4" t="s">
        <v>2</v>
      </c>
      <c r="B328" s="4" t="s">
        <v>3</v>
      </c>
      <c r="C328" s="5" t="s">
        <v>208</v>
      </c>
      <c r="D328" s="15"/>
      <c r="E328" s="1"/>
      <c r="F328" s="1"/>
      <c r="G328" s="1"/>
      <c r="H328" s="34" t="s">
        <v>2</v>
      </c>
      <c r="I328" s="34" t="s">
        <v>3</v>
      </c>
      <c r="J328" s="35" t="s">
        <v>208</v>
      </c>
      <c r="K328" s="1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>
      <c r="A329" s="6" t="s">
        <v>624</v>
      </c>
      <c r="B329" s="4" t="s">
        <v>188</v>
      </c>
      <c r="C329" s="14" t="s">
        <v>625</v>
      </c>
      <c r="D329" s="16"/>
      <c r="E329" s="1"/>
      <c r="F329" s="1"/>
      <c r="G329" s="1"/>
      <c r="H329" s="6" t="s">
        <v>626</v>
      </c>
      <c r="I329" s="4" t="s">
        <v>188</v>
      </c>
      <c r="J329" s="14" t="s">
        <v>627</v>
      </c>
      <c r="K329" s="1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>
      <c r="A330" s="6" t="s">
        <v>628</v>
      </c>
      <c r="B330" s="4" t="s">
        <v>34</v>
      </c>
      <c r="C330" s="14" t="s">
        <v>629</v>
      </c>
      <c r="D330" s="16"/>
      <c r="E330" s="1"/>
      <c r="F330" s="1"/>
      <c r="G330" s="1"/>
      <c r="H330" s="6" t="s">
        <v>630</v>
      </c>
      <c r="I330" s="4" t="s">
        <v>34</v>
      </c>
      <c r="J330" s="14" t="s">
        <v>631</v>
      </c>
      <c r="K330" s="1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>
      <c r="A331" s="6" t="s">
        <v>632</v>
      </c>
      <c r="B331" s="4" t="s">
        <v>41</v>
      </c>
      <c r="C331" s="14" t="s">
        <v>633</v>
      </c>
      <c r="D331" s="16"/>
      <c r="E331" s="1"/>
      <c r="F331" s="1"/>
      <c r="G331" s="1"/>
      <c r="H331" s="6" t="s">
        <v>634</v>
      </c>
      <c r="I331" s="4" t="s">
        <v>41</v>
      </c>
      <c r="J331" s="14" t="s">
        <v>635</v>
      </c>
      <c r="K331" s="1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>
      <c r="A332" s="6" t="s">
        <v>636</v>
      </c>
      <c r="B332" s="4" t="s">
        <v>637</v>
      </c>
      <c r="C332" s="14" t="s">
        <v>638</v>
      </c>
      <c r="D332" s="16"/>
      <c r="E332" s="1"/>
      <c r="F332" s="1"/>
      <c r="G332" s="1"/>
      <c r="H332" s="6" t="s">
        <v>639</v>
      </c>
      <c r="I332" s="4" t="s">
        <v>637</v>
      </c>
      <c r="J332" s="14" t="s">
        <v>640</v>
      </c>
      <c r="K332" s="1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>
      <c r="A333" s="6" t="s">
        <v>641</v>
      </c>
      <c r="B333" s="4" t="s">
        <v>642</v>
      </c>
      <c r="C333" s="14" t="s">
        <v>643</v>
      </c>
      <c r="D333" s="16"/>
      <c r="E333" s="1"/>
      <c r="F333" s="1"/>
      <c r="G333" s="1"/>
      <c r="H333" s="6" t="s">
        <v>644</v>
      </c>
      <c r="I333" s="4" t="s">
        <v>642</v>
      </c>
      <c r="J333" s="14" t="s">
        <v>645</v>
      </c>
      <c r="K333" s="1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>
      <c r="A334" s="6" t="s">
        <v>646</v>
      </c>
      <c r="B334" s="4" t="s">
        <v>647</v>
      </c>
      <c r="C334" s="14" t="s">
        <v>648</v>
      </c>
      <c r="D334" s="16"/>
      <c r="E334" s="1"/>
      <c r="F334" s="1"/>
      <c r="G334" s="1"/>
      <c r="H334" s="6" t="s">
        <v>649</v>
      </c>
      <c r="I334" s="4" t="s">
        <v>647</v>
      </c>
      <c r="J334" s="14" t="s">
        <v>650</v>
      </c>
      <c r="K334" s="1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>
      <c r="A335" s="6" t="s">
        <v>651</v>
      </c>
      <c r="B335" s="4" t="s">
        <v>652</v>
      </c>
      <c r="C335" s="14" t="s">
        <v>653</v>
      </c>
      <c r="D335" s="16"/>
      <c r="E335" s="1"/>
      <c r="F335" s="1"/>
      <c r="G335" s="1"/>
      <c r="H335" s="6" t="s">
        <v>654</v>
      </c>
      <c r="I335" s="4" t="s">
        <v>652</v>
      </c>
      <c r="J335" s="14" t="s">
        <v>655</v>
      </c>
      <c r="K335" s="1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>
      <c r="A336" s="6" t="s">
        <v>656</v>
      </c>
      <c r="B336" s="4" t="s">
        <v>657</v>
      </c>
      <c r="C336" s="14" t="s">
        <v>658</v>
      </c>
      <c r="D336" s="16"/>
      <c r="E336" s="1"/>
      <c r="F336" s="1"/>
      <c r="G336" s="1"/>
      <c r="H336" s="6" t="s">
        <v>659</v>
      </c>
      <c r="I336" s="4" t="s">
        <v>657</v>
      </c>
      <c r="J336" s="14" t="s">
        <v>660</v>
      </c>
      <c r="K336" s="1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>
      <c r="A337" s="6" t="s">
        <v>661</v>
      </c>
      <c r="B337" s="4" t="s">
        <v>662</v>
      </c>
      <c r="C337" s="14" t="s">
        <v>663</v>
      </c>
      <c r="D337" s="16"/>
      <c r="E337" s="1"/>
      <c r="F337" s="1"/>
      <c r="G337" s="1"/>
      <c r="H337" s="6" t="s">
        <v>664</v>
      </c>
      <c r="I337" s="4" t="s">
        <v>662</v>
      </c>
      <c r="J337" s="14" t="s">
        <v>665</v>
      </c>
      <c r="K337" s="1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>
      <c r="A338" s="6" t="s">
        <v>666</v>
      </c>
      <c r="B338" s="4" t="s">
        <v>667</v>
      </c>
      <c r="C338" s="14" t="s">
        <v>668</v>
      </c>
      <c r="D338" s="16"/>
      <c r="E338" s="1"/>
      <c r="F338" s="1"/>
      <c r="G338" s="1"/>
      <c r="H338" s="6" t="s">
        <v>669</v>
      </c>
      <c r="I338" s="4" t="s">
        <v>667</v>
      </c>
      <c r="J338" s="14" t="s">
        <v>405</v>
      </c>
      <c r="K338" s="1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>
      <c r="A339" s="10"/>
      <c r="B339" s="11"/>
      <c r="C339" s="12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7.5" customHeight="1">
      <c r="A340" s="58" t="s">
        <v>670</v>
      </c>
      <c r="B340" s="59"/>
      <c r="C340" s="59"/>
      <c r="D340" s="59"/>
      <c r="E340" s="1"/>
      <c r="F340" s="1"/>
      <c r="G340" s="1"/>
      <c r="H340" s="58" t="s">
        <v>671</v>
      </c>
      <c r="I340" s="59"/>
      <c r="J340" s="59"/>
      <c r="K340" s="5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7.5" customHeight="1">
      <c r="A341" s="56"/>
      <c r="B341" s="56"/>
      <c r="C341" s="56"/>
      <c r="D341" s="56"/>
      <c r="E341" s="1"/>
      <c r="F341" s="1"/>
      <c r="G341" s="1"/>
      <c r="H341" s="56"/>
      <c r="I341" s="56"/>
      <c r="J341" s="56"/>
      <c r="K341" s="5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>
      <c r="A342" s="4" t="s">
        <v>2</v>
      </c>
      <c r="B342" s="4" t="s">
        <v>3</v>
      </c>
      <c r="C342" s="5" t="s">
        <v>208</v>
      </c>
      <c r="D342" s="15"/>
      <c r="E342" s="1"/>
      <c r="F342" s="1"/>
      <c r="G342" s="1"/>
      <c r="H342" s="4" t="s">
        <v>2</v>
      </c>
      <c r="I342" s="4" t="s">
        <v>3</v>
      </c>
      <c r="J342" s="5" t="s">
        <v>208</v>
      </c>
      <c r="K342" s="1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>
      <c r="A343" s="6" t="s">
        <v>672</v>
      </c>
      <c r="B343" s="4" t="s">
        <v>188</v>
      </c>
      <c r="C343" s="14" t="s">
        <v>627</v>
      </c>
      <c r="D343" s="15"/>
      <c r="E343" s="11"/>
      <c r="F343" s="11"/>
      <c r="G343" s="11"/>
      <c r="H343" s="6" t="s">
        <v>673</v>
      </c>
      <c r="I343" s="4" t="s">
        <v>188</v>
      </c>
      <c r="J343" s="14" t="s">
        <v>674</v>
      </c>
      <c r="K343" s="15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9.75" customHeight="1">
      <c r="A344" s="6" t="s">
        <v>675</v>
      </c>
      <c r="B344" s="4" t="s">
        <v>34</v>
      </c>
      <c r="C344" s="14" t="s">
        <v>635</v>
      </c>
      <c r="D344" s="15"/>
      <c r="E344" s="11"/>
      <c r="F344" s="11"/>
      <c r="G344" s="11"/>
      <c r="H344" s="6" t="s">
        <v>676</v>
      </c>
      <c r="I344" s="4" t="s">
        <v>34</v>
      </c>
      <c r="J344" s="14" t="s">
        <v>399</v>
      </c>
      <c r="K344" s="1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>
      <c r="A345" s="6" t="s">
        <v>677</v>
      </c>
      <c r="B345" s="4" t="s">
        <v>41</v>
      </c>
      <c r="C345" s="14" t="s">
        <v>678</v>
      </c>
      <c r="D345" s="15"/>
      <c r="E345" s="11"/>
      <c r="F345" s="11"/>
      <c r="G345" s="11"/>
      <c r="H345" s="6" t="s">
        <v>679</v>
      </c>
      <c r="I345" s="4" t="s">
        <v>41</v>
      </c>
      <c r="J345" s="14" t="s">
        <v>680</v>
      </c>
      <c r="K345" s="1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>
      <c r="A346" s="6" t="s">
        <v>681</v>
      </c>
      <c r="B346" s="4" t="s">
        <v>637</v>
      </c>
      <c r="C346" s="14" t="s">
        <v>638</v>
      </c>
      <c r="D346" s="15"/>
      <c r="E346" s="11"/>
      <c r="F346" s="11"/>
      <c r="G346" s="11"/>
      <c r="H346" s="6" t="s">
        <v>682</v>
      </c>
      <c r="I346" s="4" t="s">
        <v>637</v>
      </c>
      <c r="J346" s="14" t="s">
        <v>220</v>
      </c>
      <c r="K346" s="1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>
      <c r="A347" s="6" t="s">
        <v>683</v>
      </c>
      <c r="B347" s="4" t="s">
        <v>642</v>
      </c>
      <c r="C347" s="14" t="s">
        <v>684</v>
      </c>
      <c r="D347" s="15"/>
      <c r="E347" s="11"/>
      <c r="F347" s="11"/>
      <c r="G347" s="11"/>
      <c r="H347" s="6" t="s">
        <v>685</v>
      </c>
      <c r="I347" s="4" t="s">
        <v>642</v>
      </c>
      <c r="J347" s="14" t="s">
        <v>686</v>
      </c>
      <c r="K347" s="1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>
      <c r="A348" s="6" t="s">
        <v>687</v>
      </c>
      <c r="B348" s="4" t="s">
        <v>647</v>
      </c>
      <c r="C348" s="14" t="s">
        <v>648</v>
      </c>
      <c r="D348" s="15"/>
      <c r="E348" s="11"/>
      <c r="F348" s="11"/>
      <c r="G348" s="11"/>
      <c r="H348" s="6" t="s">
        <v>688</v>
      </c>
      <c r="I348" s="4" t="s">
        <v>647</v>
      </c>
      <c r="J348" s="14" t="s">
        <v>689</v>
      </c>
      <c r="K348" s="1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>
      <c r="A349" s="6" t="s">
        <v>690</v>
      </c>
      <c r="B349" s="4" t="s">
        <v>652</v>
      </c>
      <c r="C349" s="14" t="s">
        <v>691</v>
      </c>
      <c r="D349" s="15"/>
      <c r="E349" s="11"/>
      <c r="F349" s="11"/>
      <c r="G349" s="11"/>
      <c r="H349" s="6" t="s">
        <v>692</v>
      </c>
      <c r="I349" s="4" t="s">
        <v>652</v>
      </c>
      <c r="J349" s="14" t="s">
        <v>693</v>
      </c>
      <c r="K349" s="1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>
      <c r="A350" s="6" t="s">
        <v>694</v>
      </c>
      <c r="B350" s="4" t="s">
        <v>657</v>
      </c>
      <c r="C350" s="14" t="s">
        <v>695</v>
      </c>
      <c r="D350" s="15"/>
      <c r="E350" s="11"/>
      <c r="F350" s="11"/>
      <c r="G350" s="11"/>
      <c r="H350" s="6" t="s">
        <v>696</v>
      </c>
      <c r="I350" s="4" t="s">
        <v>657</v>
      </c>
      <c r="J350" s="14" t="s">
        <v>697</v>
      </c>
      <c r="K350" s="1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>
      <c r="A351" s="6" t="s">
        <v>698</v>
      </c>
      <c r="B351" s="4" t="s">
        <v>662</v>
      </c>
      <c r="C351" s="14" t="s">
        <v>699</v>
      </c>
      <c r="D351" s="15"/>
      <c r="E351" s="11"/>
      <c r="F351" s="11"/>
      <c r="G351" s="11"/>
      <c r="H351" s="6" t="s">
        <v>700</v>
      </c>
      <c r="I351" s="4" t="s">
        <v>662</v>
      </c>
      <c r="J351" s="14" t="s">
        <v>701</v>
      </c>
      <c r="K351" s="1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>
      <c r="A352" s="6" t="s">
        <v>702</v>
      </c>
      <c r="B352" s="4" t="s">
        <v>667</v>
      </c>
      <c r="C352" s="14" t="s">
        <v>703</v>
      </c>
      <c r="D352" s="15"/>
      <c r="E352" s="11"/>
      <c r="F352" s="11"/>
      <c r="G352" s="11"/>
      <c r="H352" s="6" t="s">
        <v>704</v>
      </c>
      <c r="I352" s="4" t="s">
        <v>667</v>
      </c>
      <c r="J352" s="14" t="s">
        <v>705</v>
      </c>
      <c r="K352" s="1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>
      <c r="A353" s="6" t="s">
        <v>706</v>
      </c>
      <c r="B353" s="4" t="s">
        <v>707</v>
      </c>
      <c r="C353" s="14" t="s">
        <v>708</v>
      </c>
      <c r="D353" s="15"/>
      <c r="E353" s="11"/>
      <c r="F353" s="11"/>
      <c r="G353" s="11"/>
      <c r="H353" s="6" t="s">
        <v>709</v>
      </c>
      <c r="I353" s="4" t="s">
        <v>710</v>
      </c>
      <c r="J353" s="14" t="s">
        <v>711</v>
      </c>
      <c r="K353" s="1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>
      <c r="A354" s="6" t="s">
        <v>712</v>
      </c>
      <c r="B354" s="4" t="s">
        <v>710</v>
      </c>
      <c r="C354" s="14" t="s">
        <v>713</v>
      </c>
      <c r="D354" s="15"/>
      <c r="E354" s="11"/>
      <c r="F354" s="11"/>
      <c r="G354" s="11"/>
      <c r="H354" s="6" t="s">
        <v>714</v>
      </c>
      <c r="I354" s="4" t="s">
        <v>715</v>
      </c>
      <c r="J354" s="14" t="s">
        <v>716</v>
      </c>
      <c r="K354" s="1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>
      <c r="A355" s="6" t="s">
        <v>717</v>
      </c>
      <c r="B355" s="4" t="s">
        <v>715</v>
      </c>
      <c r="C355" s="14" t="s">
        <v>718</v>
      </c>
      <c r="D355" s="15"/>
      <c r="E355" s="11"/>
      <c r="F355" s="11"/>
      <c r="G355" s="11"/>
      <c r="H355" s="6" t="s">
        <v>719</v>
      </c>
      <c r="I355" s="4" t="s">
        <v>720</v>
      </c>
      <c r="J355" s="14" t="s">
        <v>721</v>
      </c>
      <c r="K355" s="1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>
      <c r="A356" s="6" t="s">
        <v>722</v>
      </c>
      <c r="B356" s="4" t="s">
        <v>720</v>
      </c>
      <c r="C356" s="14" t="s">
        <v>723</v>
      </c>
      <c r="D356" s="15"/>
      <c r="E356" s="11"/>
      <c r="F356" s="11"/>
      <c r="G356" s="11"/>
      <c r="K356" s="1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>
      <c r="A357" s="10"/>
      <c r="B357" s="11"/>
      <c r="C357" s="27"/>
      <c r="D357" s="11"/>
      <c r="E357" s="11"/>
      <c r="F357" s="11"/>
      <c r="G357" s="11"/>
      <c r="H357" s="10"/>
      <c r="I357" s="11"/>
      <c r="J357" s="27"/>
      <c r="K357" s="1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7.5" customHeight="1">
      <c r="A358" s="58" t="s">
        <v>724</v>
      </c>
      <c r="B358" s="59"/>
      <c r="C358" s="59"/>
      <c r="D358" s="59"/>
      <c r="E358" s="59"/>
      <c r="F358" s="11"/>
      <c r="G358" s="11"/>
      <c r="H358" s="58" t="s">
        <v>725</v>
      </c>
      <c r="I358" s="59"/>
      <c r="J358" s="59"/>
      <c r="K358" s="5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7.5" customHeight="1">
      <c r="A359" s="59"/>
      <c r="B359" s="59"/>
      <c r="C359" s="59"/>
      <c r="D359" s="59"/>
      <c r="E359" s="59"/>
      <c r="F359" s="1"/>
      <c r="G359" s="1"/>
      <c r="H359" s="56"/>
      <c r="I359" s="56"/>
      <c r="J359" s="56"/>
      <c r="K359" s="5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>
      <c r="A360" s="4" t="s">
        <v>2</v>
      </c>
      <c r="B360" s="4" t="s">
        <v>3</v>
      </c>
      <c r="C360" s="5" t="s">
        <v>208</v>
      </c>
      <c r="D360" s="15"/>
      <c r="E360" s="1"/>
      <c r="F360" s="1"/>
      <c r="G360" s="1"/>
      <c r="H360" s="4" t="s">
        <v>2</v>
      </c>
      <c r="I360" s="4" t="s">
        <v>3</v>
      </c>
      <c r="J360" s="5" t="s">
        <v>208</v>
      </c>
      <c r="K360" s="1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>
      <c r="A361" s="6" t="s">
        <v>726</v>
      </c>
      <c r="B361" s="4" t="s">
        <v>188</v>
      </c>
      <c r="C361" s="14" t="s">
        <v>727</v>
      </c>
      <c r="D361" s="15"/>
      <c r="E361" s="11"/>
      <c r="F361" s="11"/>
      <c r="G361" s="11"/>
      <c r="H361" s="6" t="s">
        <v>728</v>
      </c>
      <c r="I361" s="4" t="s">
        <v>188</v>
      </c>
      <c r="J361" s="14" t="s">
        <v>727</v>
      </c>
      <c r="K361" s="1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>
      <c r="A362" s="6" t="s">
        <v>729</v>
      </c>
      <c r="B362" s="4" t="s">
        <v>34</v>
      </c>
      <c r="C362" s="14" t="s">
        <v>730</v>
      </c>
      <c r="D362" s="15"/>
      <c r="E362" s="11"/>
      <c r="F362" s="11"/>
      <c r="G362" s="11"/>
      <c r="H362" s="6" t="s">
        <v>731</v>
      </c>
      <c r="I362" s="4" t="s">
        <v>34</v>
      </c>
      <c r="J362" s="14" t="s">
        <v>730</v>
      </c>
      <c r="K362" s="1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>
      <c r="A363" s="6" t="s">
        <v>732</v>
      </c>
      <c r="B363" s="4" t="s">
        <v>41</v>
      </c>
      <c r="C363" s="14" t="s">
        <v>733</v>
      </c>
      <c r="D363" s="15"/>
      <c r="E363" s="11"/>
      <c r="F363" s="11"/>
      <c r="G363" s="11"/>
      <c r="H363" s="6" t="s">
        <v>734</v>
      </c>
      <c r="I363" s="4" t="s">
        <v>41</v>
      </c>
      <c r="J363" s="14" t="s">
        <v>733</v>
      </c>
      <c r="K363" s="1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>
      <c r="A364" s="6" t="s">
        <v>735</v>
      </c>
      <c r="B364" s="4" t="s">
        <v>637</v>
      </c>
      <c r="C364" s="14" t="s">
        <v>736</v>
      </c>
      <c r="D364" s="15"/>
      <c r="E364" s="11"/>
      <c r="F364" s="11"/>
      <c r="G364" s="11"/>
      <c r="H364" s="6" t="s">
        <v>737</v>
      </c>
      <c r="I364" s="4" t="s">
        <v>637</v>
      </c>
      <c r="J364" s="14" t="s">
        <v>736</v>
      </c>
      <c r="K364" s="1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>
      <c r="A365" s="6" t="s">
        <v>738</v>
      </c>
      <c r="B365" s="4" t="s">
        <v>642</v>
      </c>
      <c r="C365" s="14" t="s">
        <v>739</v>
      </c>
      <c r="D365" s="15"/>
      <c r="E365" s="11"/>
      <c r="F365" s="11"/>
      <c r="G365" s="11"/>
      <c r="H365" s="6" t="s">
        <v>740</v>
      </c>
      <c r="I365" s="4" t="s">
        <v>642</v>
      </c>
      <c r="J365" s="14" t="s">
        <v>739</v>
      </c>
      <c r="K365" s="1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>
      <c r="A366" s="6" t="s">
        <v>741</v>
      </c>
      <c r="B366" s="4" t="s">
        <v>647</v>
      </c>
      <c r="C366" s="14" t="s">
        <v>742</v>
      </c>
      <c r="D366" s="15"/>
      <c r="E366" s="11"/>
      <c r="F366" s="11"/>
      <c r="G366" s="11"/>
      <c r="H366" s="6" t="s">
        <v>743</v>
      </c>
      <c r="I366" s="4" t="s">
        <v>647</v>
      </c>
      <c r="J366" s="14" t="s">
        <v>742</v>
      </c>
      <c r="K366" s="1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>
      <c r="A367" s="6" t="s">
        <v>744</v>
      </c>
      <c r="B367" s="4" t="s">
        <v>652</v>
      </c>
      <c r="C367" s="14" t="s">
        <v>745</v>
      </c>
      <c r="D367" s="15"/>
      <c r="E367" s="11"/>
      <c r="F367" s="11"/>
      <c r="G367" s="11"/>
      <c r="H367" s="6" t="s">
        <v>746</v>
      </c>
      <c r="I367" s="4" t="s">
        <v>652</v>
      </c>
      <c r="J367" s="14" t="s">
        <v>745</v>
      </c>
      <c r="K367" s="1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>
      <c r="A368" s="6" t="s">
        <v>747</v>
      </c>
      <c r="B368" s="4" t="s">
        <v>657</v>
      </c>
      <c r="C368" s="14" t="s">
        <v>748</v>
      </c>
      <c r="D368" s="15"/>
      <c r="E368" s="11"/>
      <c r="F368" s="11"/>
      <c r="G368" s="11"/>
      <c r="H368" s="6" t="s">
        <v>749</v>
      </c>
      <c r="I368" s="4" t="s">
        <v>657</v>
      </c>
      <c r="J368" s="14" t="s">
        <v>748</v>
      </c>
      <c r="K368" s="1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>
      <c r="A369" s="6" t="s">
        <v>750</v>
      </c>
      <c r="B369" s="4" t="s">
        <v>662</v>
      </c>
      <c r="C369" s="14" t="s">
        <v>751</v>
      </c>
      <c r="D369" s="15"/>
      <c r="E369" s="11"/>
      <c r="F369" s="11"/>
      <c r="G369" s="11"/>
      <c r="H369" s="6" t="s">
        <v>752</v>
      </c>
      <c r="I369" s="4" t="s">
        <v>662</v>
      </c>
      <c r="J369" s="14" t="s">
        <v>751</v>
      </c>
      <c r="K369" s="1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>
      <c r="A370" s="6" t="s">
        <v>753</v>
      </c>
      <c r="B370" s="4" t="s">
        <v>667</v>
      </c>
      <c r="C370" s="14" t="s">
        <v>754</v>
      </c>
      <c r="D370" s="15"/>
      <c r="E370" s="11"/>
      <c r="F370" s="11"/>
      <c r="G370" s="11"/>
      <c r="H370" s="6" t="s">
        <v>755</v>
      </c>
      <c r="I370" s="4" t="s">
        <v>667</v>
      </c>
      <c r="J370" s="14" t="s">
        <v>754</v>
      </c>
      <c r="K370" s="1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>
      <c r="A371" s="6" t="s">
        <v>756</v>
      </c>
      <c r="B371" s="4" t="s">
        <v>707</v>
      </c>
      <c r="C371" s="14" t="s">
        <v>757</v>
      </c>
      <c r="D371" s="15"/>
      <c r="E371" s="11"/>
      <c r="F371" s="11"/>
      <c r="G371" s="11"/>
      <c r="H371" s="6" t="s">
        <v>758</v>
      </c>
      <c r="I371" s="4" t="s">
        <v>707</v>
      </c>
      <c r="J371" s="14" t="s">
        <v>757</v>
      </c>
      <c r="K371" s="1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>
      <c r="A372" s="6" t="s">
        <v>759</v>
      </c>
      <c r="B372" s="4" t="s">
        <v>710</v>
      </c>
      <c r="C372" s="14" t="s">
        <v>760</v>
      </c>
      <c r="D372" s="15"/>
      <c r="E372" s="11"/>
      <c r="F372" s="11"/>
      <c r="G372" s="11"/>
      <c r="H372" s="6" t="s">
        <v>761</v>
      </c>
      <c r="I372" s="4" t="s">
        <v>710</v>
      </c>
      <c r="J372" s="14" t="s">
        <v>760</v>
      </c>
      <c r="K372" s="1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>
      <c r="A373" s="6" t="s">
        <v>762</v>
      </c>
      <c r="B373" s="4" t="s">
        <v>715</v>
      </c>
      <c r="C373" s="14" t="s">
        <v>763</v>
      </c>
      <c r="D373" s="15"/>
      <c r="E373" s="11"/>
      <c r="F373" s="11"/>
      <c r="G373" s="11"/>
      <c r="H373" s="6" t="s">
        <v>764</v>
      </c>
      <c r="I373" s="4" t="s">
        <v>715</v>
      </c>
      <c r="J373" s="14" t="s">
        <v>763</v>
      </c>
      <c r="K373" s="1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>
      <c r="A374" s="6" t="s">
        <v>765</v>
      </c>
      <c r="B374" s="4" t="s">
        <v>720</v>
      </c>
      <c r="C374" s="14" t="s">
        <v>766</v>
      </c>
      <c r="D374" s="15"/>
      <c r="E374" s="11"/>
      <c r="F374" s="11"/>
      <c r="G374" s="11"/>
      <c r="H374" s="6" t="s">
        <v>767</v>
      </c>
      <c r="I374" s="4" t="s">
        <v>720</v>
      </c>
      <c r="J374" s="14" t="s">
        <v>766</v>
      </c>
      <c r="K374" s="1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>
      <c r="A375" s="6" t="s">
        <v>768</v>
      </c>
      <c r="B375" s="4" t="s">
        <v>769</v>
      </c>
      <c r="C375" s="14" t="s">
        <v>770</v>
      </c>
      <c r="D375" s="15"/>
      <c r="E375" s="11"/>
      <c r="F375" s="11"/>
      <c r="G375" s="11"/>
      <c r="H375" s="6" t="s">
        <v>771</v>
      </c>
      <c r="I375" s="4" t="s">
        <v>769</v>
      </c>
      <c r="J375" s="14" t="s">
        <v>770</v>
      </c>
      <c r="K375" s="1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6" customHeight="1">
      <c r="A376" s="1"/>
      <c r="B376" s="1"/>
      <c r="C376" s="2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7.5" customHeight="1">
      <c r="A377" s="58" t="s">
        <v>772</v>
      </c>
      <c r="B377" s="59"/>
      <c r="C377" s="59"/>
      <c r="D377" s="59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7.5" customHeight="1">
      <c r="A378" s="56"/>
      <c r="B378" s="56"/>
      <c r="C378" s="56"/>
      <c r="D378" s="56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>
      <c r="A379" s="4" t="s">
        <v>2</v>
      </c>
      <c r="B379" s="4" t="s">
        <v>3</v>
      </c>
      <c r="C379" s="5" t="s">
        <v>208</v>
      </c>
      <c r="D379" s="15"/>
      <c r="E379" s="1"/>
      <c r="F379" s="1"/>
      <c r="G379" s="1"/>
      <c r="H379" s="52" t="s">
        <v>620</v>
      </c>
      <c r="I379" s="53"/>
      <c r="J379" s="5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>
      <c r="A380" s="6" t="s">
        <v>773</v>
      </c>
      <c r="B380" s="4" t="s">
        <v>188</v>
      </c>
      <c r="C380" s="14" t="s">
        <v>645</v>
      </c>
      <c r="D380" s="16"/>
      <c r="E380" s="1"/>
      <c r="F380" s="1"/>
      <c r="G380" s="1"/>
      <c r="H380" s="55"/>
      <c r="I380" s="56"/>
      <c r="J380" s="5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>
      <c r="A381" s="6" t="s">
        <v>774</v>
      </c>
      <c r="B381" s="4" t="s">
        <v>34</v>
      </c>
      <c r="C381" s="14" t="s">
        <v>775</v>
      </c>
      <c r="D381" s="16"/>
      <c r="E381" s="1"/>
      <c r="F381" s="1"/>
      <c r="G381" s="1"/>
      <c r="H381" s="52" t="s">
        <v>621</v>
      </c>
      <c r="I381" s="53"/>
      <c r="J381" s="5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>
      <c r="A382" s="6" t="s">
        <v>776</v>
      </c>
      <c r="B382" s="4" t="s">
        <v>41</v>
      </c>
      <c r="C382" s="14" t="s">
        <v>777</v>
      </c>
      <c r="D382" s="16"/>
      <c r="E382" s="1"/>
      <c r="F382" s="1"/>
      <c r="G382" s="1"/>
      <c r="H382" s="55"/>
      <c r="I382" s="56"/>
      <c r="J382" s="5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>
      <c r="A383" s="6" t="s">
        <v>778</v>
      </c>
      <c r="B383" s="4" t="s">
        <v>637</v>
      </c>
      <c r="C383" s="14" t="s">
        <v>779</v>
      </c>
      <c r="D383" s="16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>
      <c r="A384" s="6" t="s">
        <v>780</v>
      </c>
      <c r="B384" s="4" t="s">
        <v>642</v>
      </c>
      <c r="C384" s="14" t="s">
        <v>699</v>
      </c>
      <c r="D384" s="16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>
      <c r="A385" s="6" t="s">
        <v>781</v>
      </c>
      <c r="B385" s="4" t="s">
        <v>647</v>
      </c>
      <c r="C385" s="14" t="s">
        <v>782</v>
      </c>
      <c r="D385" s="16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>
      <c r="A386" s="6" t="s">
        <v>783</v>
      </c>
      <c r="B386" s="4" t="s">
        <v>652</v>
      </c>
      <c r="C386" s="14" t="s">
        <v>784</v>
      </c>
      <c r="D386" s="16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>
      <c r="A387" s="6" t="s">
        <v>785</v>
      </c>
      <c r="B387" s="4" t="s">
        <v>657</v>
      </c>
      <c r="C387" s="14" t="s">
        <v>786</v>
      </c>
      <c r="D387" s="16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>
      <c r="A388" s="6" t="s">
        <v>787</v>
      </c>
      <c r="B388" s="4" t="s">
        <v>662</v>
      </c>
      <c r="C388" s="14" t="s">
        <v>788</v>
      </c>
      <c r="D388" s="16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>
      <c r="A389" s="6" t="s">
        <v>789</v>
      </c>
      <c r="B389" s="4" t="s">
        <v>667</v>
      </c>
      <c r="C389" s="14" t="s">
        <v>790</v>
      </c>
      <c r="D389" s="16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>
      <c r="A390" s="6" t="s">
        <v>791</v>
      </c>
      <c r="B390" s="4" t="s">
        <v>707</v>
      </c>
      <c r="C390" s="14" t="s">
        <v>792</v>
      </c>
      <c r="D390" s="16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>
      <c r="A391" s="6" t="s">
        <v>793</v>
      </c>
      <c r="B391" s="4" t="s">
        <v>710</v>
      </c>
      <c r="C391" s="14" t="s">
        <v>794</v>
      </c>
      <c r="D391" s="16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>
      <c r="A392" s="6" t="s">
        <v>795</v>
      </c>
      <c r="B392" s="4" t="s">
        <v>715</v>
      </c>
      <c r="C392" s="14" t="s">
        <v>796</v>
      </c>
      <c r="D392" s="16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>
      <c r="A393" s="6" t="s">
        <v>797</v>
      </c>
      <c r="B393" s="4" t="s">
        <v>720</v>
      </c>
      <c r="C393" s="14" t="s">
        <v>798</v>
      </c>
      <c r="D393" s="1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>
      <c r="A394" s="36" t="s">
        <v>799</v>
      </c>
      <c r="B394" s="24" t="s">
        <v>769</v>
      </c>
      <c r="C394" s="37" t="s">
        <v>800</v>
      </c>
      <c r="D394" s="1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6.75" customHeight="1">
      <c r="A395" s="38"/>
      <c r="B395" s="38"/>
      <c r="C395" s="39"/>
      <c r="D395" s="38"/>
      <c r="E395" s="40"/>
      <c r="F395" s="40"/>
      <c r="G395" s="40"/>
      <c r="H395" s="38"/>
      <c r="I395" s="38"/>
      <c r="J395" s="38"/>
      <c r="K395" s="3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7.5" customHeight="1">
      <c r="A396" s="3"/>
      <c r="B396" s="3"/>
      <c r="C396" s="3"/>
      <c r="D396" s="3"/>
      <c r="E396" s="1"/>
      <c r="F396" s="1"/>
      <c r="G396" s="1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7.5" customHeight="1">
      <c r="A397" s="3"/>
      <c r="B397" s="3"/>
      <c r="C397" s="3"/>
      <c r="D397" s="3"/>
      <c r="E397" s="1"/>
      <c r="F397" s="1"/>
      <c r="G397" s="1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7.5" customHeight="1">
      <c r="A398" s="52" t="s">
        <v>801</v>
      </c>
      <c r="B398" s="53"/>
      <c r="C398" s="53"/>
      <c r="D398" s="54"/>
      <c r="E398" s="1"/>
      <c r="F398" s="1"/>
      <c r="G398" s="1"/>
      <c r="H398" s="52" t="s">
        <v>802</v>
      </c>
      <c r="I398" s="53"/>
      <c r="J398" s="53"/>
      <c r="K398" s="5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7.5" customHeight="1">
      <c r="A399" s="55"/>
      <c r="B399" s="56"/>
      <c r="C399" s="56"/>
      <c r="D399" s="57"/>
      <c r="E399" s="1"/>
      <c r="F399" s="1"/>
      <c r="G399" s="1"/>
      <c r="H399" s="55"/>
      <c r="I399" s="56"/>
      <c r="J399" s="56"/>
      <c r="K399" s="5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>
      <c r="A400" s="4" t="s">
        <v>2</v>
      </c>
      <c r="B400" s="60" t="s">
        <v>803</v>
      </c>
      <c r="C400" s="51"/>
      <c r="D400" s="5" t="s">
        <v>208</v>
      </c>
      <c r="E400" s="52" t="s">
        <v>804</v>
      </c>
      <c r="F400" s="53"/>
      <c r="G400" s="54"/>
      <c r="H400" s="4" t="s">
        <v>2</v>
      </c>
      <c r="I400" s="60" t="s">
        <v>803</v>
      </c>
      <c r="J400" s="51"/>
      <c r="K400" s="5" t="s">
        <v>208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>
      <c r="A401" s="6" t="s">
        <v>805</v>
      </c>
      <c r="B401" s="50" t="s">
        <v>806</v>
      </c>
      <c r="C401" s="51"/>
      <c r="D401" s="14">
        <v>7.88</v>
      </c>
      <c r="E401" s="55"/>
      <c r="F401" s="56"/>
      <c r="G401" s="57"/>
      <c r="H401" s="4">
        <v>599</v>
      </c>
      <c r="I401" s="18" t="s">
        <v>807</v>
      </c>
      <c r="J401" s="18"/>
      <c r="K401" s="14">
        <v>3.9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>
      <c r="A402" s="6" t="s">
        <v>808</v>
      </c>
      <c r="B402" s="50" t="s">
        <v>809</v>
      </c>
      <c r="C402" s="51"/>
      <c r="D402" s="14">
        <v>5.53</v>
      </c>
      <c r="E402" s="52" t="s">
        <v>810</v>
      </c>
      <c r="F402" s="53"/>
      <c r="G402" s="54"/>
      <c r="H402" s="4">
        <v>597</v>
      </c>
      <c r="I402" s="18" t="s">
        <v>811</v>
      </c>
      <c r="J402" s="18"/>
      <c r="K402" s="14">
        <v>5.24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>
      <c r="A403" s="6" t="s">
        <v>812</v>
      </c>
      <c r="B403" s="50" t="s">
        <v>813</v>
      </c>
      <c r="C403" s="51"/>
      <c r="D403" s="14">
        <v>2.35</v>
      </c>
      <c r="E403" s="55"/>
      <c r="F403" s="56"/>
      <c r="G403" s="57"/>
      <c r="H403" s="4">
        <v>598</v>
      </c>
      <c r="I403" s="18" t="s">
        <v>814</v>
      </c>
      <c r="J403" s="18"/>
      <c r="K403" s="14">
        <v>4.29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>
      <c r="A404" s="1"/>
      <c r="B404" s="1"/>
      <c r="C404" s="2"/>
      <c r="D404" s="1"/>
      <c r="E404" s="1"/>
      <c r="F404" s="1"/>
      <c r="G404" s="1"/>
      <c r="H404" s="1"/>
      <c r="I404" s="1"/>
      <c r="J404" s="2"/>
      <c r="K404" s="1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>
      <c r="A405" s="1"/>
      <c r="B405" s="1"/>
      <c r="C405" s="2"/>
      <c r="D405" s="1"/>
      <c r="E405" s="1"/>
      <c r="F405" s="1"/>
      <c r="G405" s="1"/>
      <c r="H405" s="1"/>
      <c r="I405" s="1"/>
      <c r="J405" s="2"/>
      <c r="K405" s="1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>
      <c r="A406" s="1"/>
      <c r="B406" s="1"/>
      <c r="C406" s="2"/>
      <c r="D406" s="1"/>
      <c r="E406" s="1"/>
      <c r="F406" s="1"/>
      <c r="G406" s="1"/>
      <c r="H406" s="1"/>
      <c r="I406" s="1"/>
      <c r="J406" s="2"/>
      <c r="K406" s="1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>
      <c r="A407" s="1"/>
      <c r="B407" s="1"/>
      <c r="C407" s="2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>
      <c r="A408" s="1"/>
      <c r="B408" s="1"/>
      <c r="C408" s="2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>
      <c r="A409" s="1"/>
      <c r="B409" s="1"/>
      <c r="C409" s="2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>
      <c r="A410" s="1"/>
      <c r="B410" s="1"/>
      <c r="C410" s="2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>
      <c r="A411" s="1"/>
      <c r="B411" s="1"/>
      <c r="C411" s="2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>
      <c r="A412" s="1"/>
      <c r="B412" s="1"/>
      <c r="C412" s="2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>
      <c r="A413" s="1"/>
      <c r="B413" s="1"/>
      <c r="C413" s="2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>
      <c r="A414" s="1"/>
      <c r="B414" s="1"/>
      <c r="C414" s="2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>
      <c r="A415" s="1"/>
      <c r="B415" s="1"/>
      <c r="C415" s="2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>
      <c r="A428" s="1"/>
      <c r="B428" s="1"/>
      <c r="C428" s="2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>
      <c r="A429" s="1"/>
      <c r="B429" s="1"/>
      <c r="C429" s="2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>
      <c r="A440" s="1"/>
      <c r="B440" s="1"/>
      <c r="C440" s="2"/>
      <c r="D440" s="1"/>
      <c r="E440" s="1"/>
      <c r="F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>
      <c r="A441" s="1"/>
      <c r="B441" s="1"/>
      <c r="C441" s="2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>
      <c r="A442" s="1"/>
      <c r="B442" s="1"/>
      <c r="C442" s="2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>
      <c r="A443" s="1"/>
      <c r="B443" s="1"/>
      <c r="C443" s="2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>
      <c r="A444" s="1"/>
      <c r="B444" s="1"/>
      <c r="C444" s="2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>
      <c r="A445" s="1"/>
      <c r="B445" s="1"/>
      <c r="C445" s="2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>
      <c r="A446" s="1"/>
      <c r="B446" s="1"/>
      <c r="C446" s="2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>
      <c r="A447" s="1"/>
      <c r="B447" s="1"/>
      <c r="C447" s="2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>
      <c r="A448" s="1"/>
      <c r="B448" s="1"/>
      <c r="C448" s="2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>
      <c r="A449" s="1"/>
      <c r="B449" s="1"/>
      <c r="C449" s="2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>
      <c r="A450" s="1"/>
      <c r="B450" s="1"/>
      <c r="C450" s="2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>
      <c r="A451" s="1"/>
      <c r="B451" s="1"/>
      <c r="C451" s="2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>
      <c r="A452" s="1"/>
      <c r="B452" s="1"/>
      <c r="C452" s="2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>
      <c r="A453" s="1"/>
      <c r="B453" s="1"/>
      <c r="C453" s="2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>
      <c r="A454" s="1"/>
      <c r="B454" s="1"/>
      <c r="C454" s="2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>
      <c r="A455" s="1"/>
      <c r="B455" s="1"/>
      <c r="C455" s="2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>
      <c r="A456" s="1"/>
      <c r="B456" s="1"/>
      <c r="C456" s="2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>
      <c r="A457" s="1"/>
      <c r="B457" s="1"/>
      <c r="C457" s="2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>
      <c r="A458" s="1"/>
      <c r="B458" s="1"/>
      <c r="C458" s="2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>
      <c r="A459" s="1"/>
      <c r="B459" s="1"/>
      <c r="C459" s="2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>
      <c r="A460" s="1"/>
      <c r="B460" s="1"/>
      <c r="C460" s="2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>
      <c r="A461" s="1"/>
      <c r="B461" s="1"/>
      <c r="C461" s="2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>
      <c r="A462" s="1"/>
      <c r="B462" s="1"/>
      <c r="C462" s="2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>
      <c r="A463" s="1"/>
      <c r="B463" s="1"/>
      <c r="C463" s="2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>
      <c r="A464" s="1"/>
      <c r="B464" s="1"/>
      <c r="C464" s="2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>
      <c r="A465" s="1"/>
      <c r="B465" s="1"/>
      <c r="C465" s="2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>
      <c r="A466" s="1"/>
      <c r="B466" s="1"/>
      <c r="C466" s="2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>
      <c r="A467" s="1"/>
      <c r="B467" s="1"/>
      <c r="C467" s="2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>
      <c r="A468" s="1"/>
      <c r="B468" s="1"/>
      <c r="C468" s="2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>
      <c r="A469" s="1"/>
      <c r="B469" s="1"/>
      <c r="C469" s="2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>
      <c r="A470" s="1"/>
      <c r="B470" s="1"/>
      <c r="C470" s="2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>
      <c r="A471" s="1"/>
      <c r="B471" s="1"/>
      <c r="C471" s="2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>
      <c r="A472" s="1"/>
      <c r="B472" s="1"/>
      <c r="C472" s="2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>
      <c r="A473" s="1"/>
      <c r="B473" s="1"/>
      <c r="C473" s="2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>
      <c r="A474" s="1"/>
      <c r="B474" s="1"/>
      <c r="C474" s="2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>
      <c r="A475" s="1"/>
      <c r="B475" s="1"/>
      <c r="C475" s="2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>
      <c r="A476" s="1"/>
      <c r="B476" s="1"/>
      <c r="C476" s="2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>
      <c r="A477" s="1"/>
      <c r="B477" s="1"/>
      <c r="C477" s="2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>
      <c r="A478" s="1"/>
      <c r="B478" s="1"/>
      <c r="C478" s="2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>
      <c r="A479" s="1"/>
      <c r="B479" s="1"/>
      <c r="C479" s="2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>
      <c r="A480" s="1"/>
      <c r="B480" s="1"/>
      <c r="C480" s="2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>
      <c r="A481" s="1"/>
      <c r="B481" s="1"/>
      <c r="C481" s="2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>
      <c r="A482" s="1"/>
      <c r="B482" s="1"/>
      <c r="C482" s="2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>
      <c r="A483" s="1"/>
      <c r="B483" s="1"/>
      <c r="C483" s="2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>
      <c r="A484" s="1"/>
      <c r="B484" s="1"/>
      <c r="C484" s="2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>
      <c r="A485" s="1"/>
      <c r="B485" s="1"/>
      <c r="C485" s="2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>
      <c r="A486" s="1"/>
      <c r="B486" s="1"/>
      <c r="C486" s="2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>
      <c r="A487" s="1"/>
      <c r="B487" s="1"/>
      <c r="C487" s="2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>
      <c r="A488" s="1"/>
      <c r="B488" s="1"/>
      <c r="C488" s="2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>
      <c r="A489" s="1"/>
      <c r="B489" s="1"/>
      <c r="C489" s="2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>
      <c r="A490" s="1"/>
      <c r="B490" s="1"/>
      <c r="C490" s="2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>
      <c r="A491" s="1"/>
      <c r="B491" s="1"/>
      <c r="C491" s="2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>
      <c r="A492" s="1"/>
      <c r="B492" s="1"/>
      <c r="C492" s="2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>
      <c r="A493" s="1"/>
      <c r="B493" s="1"/>
      <c r="C493" s="2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>
      <c r="A494" s="1"/>
      <c r="B494" s="1"/>
      <c r="C494" s="2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>
      <c r="A495" s="1"/>
      <c r="B495" s="1"/>
      <c r="C495" s="2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>
      <c r="A496" s="1"/>
      <c r="B496" s="1"/>
      <c r="C496" s="2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>
      <c r="A497" s="1"/>
      <c r="B497" s="1"/>
      <c r="C497" s="2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>
      <c r="A498" s="1"/>
      <c r="B498" s="1"/>
      <c r="C498" s="2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>
      <c r="A499" s="1"/>
      <c r="B499" s="1"/>
      <c r="C499" s="2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>
      <c r="A500" s="1"/>
      <c r="B500" s="1"/>
      <c r="C500" s="2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>
      <c r="A501" s="1"/>
      <c r="B501" s="1"/>
      <c r="C501" s="2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>
      <c r="A502" s="1"/>
      <c r="B502" s="1"/>
      <c r="C502" s="2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>
      <c r="A503" s="1"/>
      <c r="B503" s="1"/>
      <c r="C503" s="2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>
      <c r="A504" s="1"/>
      <c r="B504" s="1"/>
      <c r="C504" s="2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>
      <c r="A505" s="1"/>
      <c r="B505" s="1"/>
      <c r="C505" s="2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>
      <c r="A506" s="1"/>
      <c r="B506" s="1"/>
      <c r="C506" s="2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>
      <c r="A507" s="1"/>
      <c r="B507" s="1"/>
      <c r="C507" s="2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>
      <c r="A508" s="1"/>
      <c r="B508" s="1"/>
      <c r="C508" s="2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>
      <c r="A509" s="1"/>
      <c r="B509" s="1"/>
      <c r="C509" s="2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>
      <c r="A510" s="1"/>
      <c r="B510" s="1"/>
      <c r="C510" s="2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>
      <c r="A511" s="1"/>
      <c r="B511" s="1"/>
      <c r="C511" s="2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>
      <c r="A512" s="1"/>
      <c r="B512" s="1"/>
      <c r="C512" s="2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>
      <c r="A513" s="1"/>
      <c r="B513" s="1"/>
      <c r="C513" s="2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>
      <c r="A514" s="1"/>
      <c r="B514" s="1"/>
      <c r="C514" s="2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>
      <c r="A515" s="1"/>
      <c r="B515" s="1"/>
      <c r="C515" s="2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>
      <c r="A516" s="1"/>
      <c r="B516" s="1"/>
      <c r="C516" s="2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>
      <c r="A517" s="1"/>
      <c r="B517" s="1"/>
      <c r="C517" s="2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>
      <c r="A518" s="1"/>
      <c r="B518" s="1"/>
      <c r="C518" s="2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>
      <c r="A519" s="1"/>
      <c r="B519" s="1"/>
      <c r="C519" s="2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>
      <c r="A520" s="1"/>
      <c r="B520" s="1"/>
      <c r="C520" s="2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>
      <c r="A521" s="1"/>
      <c r="B521" s="1"/>
      <c r="C521" s="2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>
      <c r="A522" s="1"/>
      <c r="B522" s="1"/>
      <c r="C522" s="2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>
      <c r="A523" s="1"/>
      <c r="B523" s="1"/>
      <c r="C523" s="2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>
      <c r="A524" s="1"/>
      <c r="B524" s="1"/>
      <c r="C524" s="2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>
      <c r="A525" s="1"/>
      <c r="B525" s="1"/>
      <c r="C525" s="2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>
      <c r="A526" s="1"/>
      <c r="B526" s="1"/>
      <c r="C526" s="2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>
      <c r="A527" s="1"/>
      <c r="B527" s="1"/>
      <c r="C527" s="2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>
      <c r="A528" s="1"/>
      <c r="B528" s="1"/>
      <c r="C528" s="2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>
      <c r="A529" s="1"/>
      <c r="B529" s="1"/>
      <c r="C529" s="2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>
      <c r="A530" s="1"/>
      <c r="B530" s="1"/>
      <c r="C530" s="2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>
      <c r="A531" s="1"/>
      <c r="B531" s="1"/>
      <c r="C531" s="2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>
      <c r="A532" s="1"/>
      <c r="B532" s="1"/>
      <c r="C532" s="2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>
      <c r="A533" s="1"/>
      <c r="B533" s="1"/>
      <c r="C533" s="2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>
      <c r="A534" s="1"/>
      <c r="B534" s="1"/>
      <c r="C534" s="2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>
      <c r="A535" s="1"/>
      <c r="B535" s="1"/>
      <c r="C535" s="2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>
      <c r="A536" s="1"/>
      <c r="B536" s="1"/>
      <c r="C536" s="2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>
      <c r="A537" s="1"/>
      <c r="B537" s="1"/>
      <c r="C537" s="2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>
      <c r="A538" s="1"/>
      <c r="B538" s="1"/>
      <c r="C538" s="2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>
      <c r="A539" s="1"/>
      <c r="B539" s="1"/>
      <c r="C539" s="2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>
      <c r="A540" s="1"/>
      <c r="B540" s="1"/>
      <c r="C540" s="2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>
      <c r="A541" s="1"/>
      <c r="B541" s="1"/>
      <c r="C541" s="2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>
      <c r="A542" s="1"/>
      <c r="B542" s="1"/>
      <c r="C542" s="2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>
      <c r="A543" s="1"/>
      <c r="B543" s="1"/>
      <c r="C543" s="2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>
      <c r="A544" s="1"/>
      <c r="B544" s="1"/>
      <c r="C544" s="2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>
      <c r="A545" s="1"/>
      <c r="B545" s="1"/>
      <c r="C545" s="2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>
      <c r="A546" s="1"/>
      <c r="B546" s="1"/>
      <c r="C546" s="2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>
      <c r="A547" s="1"/>
      <c r="B547" s="1"/>
      <c r="C547" s="2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>
      <c r="A548" s="1"/>
      <c r="B548" s="1"/>
      <c r="C548" s="2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>
      <c r="A549" s="1"/>
      <c r="B549" s="1"/>
      <c r="C549" s="2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>
      <c r="A550" s="1"/>
      <c r="B550" s="1"/>
      <c r="C550" s="2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>
      <c r="A551" s="1"/>
      <c r="B551" s="1"/>
      <c r="C551" s="2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>
      <c r="A552" s="1"/>
      <c r="B552" s="1"/>
      <c r="C552" s="2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>
      <c r="A553" s="1"/>
      <c r="B553" s="1"/>
      <c r="C553" s="2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>
      <c r="A554" s="1"/>
      <c r="B554" s="1"/>
      <c r="C554" s="2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>
      <c r="A555" s="1"/>
      <c r="B555" s="1"/>
      <c r="C555" s="2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>
      <c r="A556" s="1"/>
      <c r="B556" s="1"/>
      <c r="C556" s="2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>
      <c r="A557" s="1"/>
      <c r="B557" s="1"/>
      <c r="C557" s="2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>
      <c r="A558" s="1"/>
      <c r="B558" s="1"/>
      <c r="C558" s="2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>
      <c r="A559" s="1"/>
      <c r="B559" s="1"/>
      <c r="C559" s="2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>
      <c r="A560" s="1"/>
      <c r="B560" s="1"/>
      <c r="C560" s="2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>
      <c r="A561" s="1"/>
      <c r="B561" s="1"/>
      <c r="C561" s="2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>
      <c r="A562" s="1"/>
      <c r="B562" s="1"/>
      <c r="C562" s="2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>
      <c r="A563" s="1"/>
      <c r="B563" s="1"/>
      <c r="C563" s="2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>
      <c r="A564" s="1"/>
      <c r="B564" s="1"/>
      <c r="C564" s="2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>
      <c r="A565" s="1"/>
      <c r="B565" s="1"/>
      <c r="C565" s="2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>
      <c r="A566" s="1"/>
      <c r="B566" s="1"/>
      <c r="C566" s="2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>
      <c r="A567" s="1"/>
      <c r="B567" s="1"/>
      <c r="C567" s="2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>
      <c r="A568" s="1"/>
      <c r="B568" s="1"/>
      <c r="C568" s="2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>
      <c r="A569" s="1"/>
      <c r="B569" s="1"/>
      <c r="C569" s="2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>
      <c r="A570" s="1"/>
      <c r="B570" s="1"/>
      <c r="C570" s="2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>
      <c r="A571" s="1"/>
      <c r="B571" s="1"/>
      <c r="C571" s="2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>
      <c r="A572" s="1"/>
      <c r="B572" s="1"/>
      <c r="C572" s="2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>
      <c r="A573" s="1"/>
      <c r="B573" s="1"/>
      <c r="C573" s="2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>
      <c r="A574" s="1"/>
      <c r="B574" s="1"/>
      <c r="C574" s="2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>
      <c r="A575" s="1"/>
      <c r="B575" s="1"/>
      <c r="C575" s="2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>
      <c r="A576" s="1"/>
      <c r="B576" s="1"/>
      <c r="C576" s="2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>
      <c r="A577" s="1"/>
      <c r="B577" s="1"/>
      <c r="C577" s="2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>
      <c r="A578" s="1"/>
      <c r="B578" s="1"/>
      <c r="C578" s="2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>
      <c r="A579" s="1"/>
      <c r="B579" s="1"/>
      <c r="C579" s="2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>
      <c r="A580" s="1"/>
      <c r="B580" s="1"/>
      <c r="C580" s="2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>
      <c r="A581" s="1"/>
      <c r="B581" s="1"/>
      <c r="C581" s="2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>
      <c r="A582" s="1"/>
      <c r="B582" s="1"/>
      <c r="C582" s="2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>
      <c r="A583" s="1"/>
      <c r="B583" s="1"/>
      <c r="C583" s="2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>
      <c r="A584" s="1"/>
      <c r="B584" s="1"/>
      <c r="C584" s="2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>
      <c r="A585" s="1"/>
      <c r="B585" s="1"/>
      <c r="C585" s="2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>
      <c r="A586" s="1"/>
      <c r="B586" s="1"/>
      <c r="C586" s="2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>
      <c r="A587" s="1"/>
      <c r="B587" s="1"/>
      <c r="C587" s="2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>
      <c r="A588" s="1"/>
      <c r="B588" s="1"/>
      <c r="C588" s="2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>
      <c r="A589" s="1"/>
      <c r="B589" s="1"/>
      <c r="C589" s="2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>
      <c r="A590" s="1"/>
      <c r="B590" s="1"/>
      <c r="C590" s="2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>
      <c r="A591" s="1"/>
      <c r="B591" s="1"/>
      <c r="C591" s="2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>
      <c r="A592" s="1"/>
      <c r="B592" s="1"/>
      <c r="C592" s="2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>
      <c r="A593" s="1"/>
      <c r="B593" s="1"/>
      <c r="C593" s="2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>
      <c r="A594" s="1"/>
      <c r="B594" s="1"/>
      <c r="C594" s="2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>
      <c r="A595" s="1"/>
      <c r="B595" s="1"/>
      <c r="C595" s="2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>
      <c r="A596" s="1"/>
      <c r="B596" s="1"/>
      <c r="C596" s="2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>
      <c r="A597" s="1"/>
      <c r="B597" s="1"/>
      <c r="C597" s="2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>
      <c r="A598" s="1"/>
      <c r="B598" s="1"/>
      <c r="C598" s="2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>
      <c r="A599" s="1"/>
      <c r="B599" s="1"/>
      <c r="C599" s="2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>
      <c r="A600" s="1"/>
      <c r="B600" s="1"/>
      <c r="C600" s="2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>
      <c r="A601" s="1"/>
      <c r="B601" s="1"/>
      <c r="C601" s="2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>
      <c r="A602" s="1"/>
      <c r="B602" s="1"/>
      <c r="C602" s="2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>
      <c r="A603" s="1"/>
      <c r="B603" s="1"/>
      <c r="C603" s="2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/>
    <row r="605" spans="1:26" ht="15.75" customHeight="1"/>
    <row r="606" spans="1:26" ht="15.75" customHeight="1"/>
    <row r="607" spans="1:26" ht="15.75" customHeight="1"/>
    <row r="608" spans="1:26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1">
    <mergeCell ref="A94:D95"/>
    <mergeCell ref="H94:K95"/>
    <mergeCell ref="A107:D108"/>
    <mergeCell ref="A291:D292"/>
    <mergeCell ref="F291:I292"/>
    <mergeCell ref="A226:D227"/>
    <mergeCell ref="G226:J227"/>
    <mergeCell ref="I237:K238"/>
    <mergeCell ref="I239:K240"/>
    <mergeCell ref="A242:D243"/>
    <mergeCell ref="F242:I243"/>
    <mergeCell ref="H107:J108"/>
    <mergeCell ref="H120:J121"/>
    <mergeCell ref="A121:D122"/>
    <mergeCell ref="A140:D141"/>
    <mergeCell ref="H140:K141"/>
    <mergeCell ref="A62:D63"/>
    <mergeCell ref="H62:K63"/>
    <mergeCell ref="E71:G72"/>
    <mergeCell ref="E73:G74"/>
    <mergeCell ref="A76:D77"/>
    <mergeCell ref="H76:K77"/>
    <mergeCell ref="C10:I11"/>
    <mergeCell ref="A12:E13"/>
    <mergeCell ref="H12:K13"/>
    <mergeCell ref="A48:D49"/>
    <mergeCell ref="H48:K49"/>
    <mergeCell ref="D154:G155"/>
    <mergeCell ref="D156:G157"/>
    <mergeCell ref="A159:D160"/>
    <mergeCell ref="H159:K160"/>
    <mergeCell ref="A170:D171"/>
    <mergeCell ref="H170:K171"/>
    <mergeCell ref="A180:D181"/>
    <mergeCell ref="H180:K181"/>
    <mergeCell ref="A187:D188"/>
    <mergeCell ref="A194:D195"/>
    <mergeCell ref="G194:J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B401:C401"/>
    <mergeCell ref="A340:D341"/>
    <mergeCell ref="H340:K341"/>
    <mergeCell ref="J319:L320"/>
    <mergeCell ref="J321:L322"/>
    <mergeCell ref="A327:D327"/>
    <mergeCell ref="H327:K327"/>
    <mergeCell ref="A1:K9"/>
    <mergeCell ref="B402:C402"/>
    <mergeCell ref="E402:G403"/>
    <mergeCell ref="B403:C403"/>
    <mergeCell ref="A358:E359"/>
    <mergeCell ref="H358:K359"/>
    <mergeCell ref="A377:D378"/>
    <mergeCell ref="H379:J380"/>
    <mergeCell ref="H381:J382"/>
    <mergeCell ref="A398:D399"/>
    <mergeCell ref="H398:K399"/>
    <mergeCell ref="A213:D214"/>
    <mergeCell ref="G213:J214"/>
    <mergeCell ref="B400:C400"/>
    <mergeCell ref="E400:G401"/>
    <mergeCell ref="I400:J400"/>
  </mergeCells>
  <pageMargins left="0.19685039370078741" right="7.874015748031496E-2" top="7.874015748031496E-2" bottom="0.1181102362204724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4.44140625" customWidth="1"/>
  </cols>
  <sheetData>
    <row r="1" spans="1:7" ht="14.4">
      <c r="A1" s="7">
        <v>1.5184</v>
      </c>
      <c r="B1" s="41">
        <f t="shared" ref="B1:C1" si="0">A1-(A1*0.04)</f>
        <v>1.4576640000000001</v>
      </c>
      <c r="C1" s="41">
        <f t="shared" si="0"/>
        <v>1.3993574400000002</v>
      </c>
      <c r="D1" s="33"/>
      <c r="E1" s="7">
        <v>1.8720000000000001</v>
      </c>
      <c r="F1" s="41">
        <f t="shared" ref="F1:G1" si="1">E1-(E1*0.04)</f>
        <v>1.7971200000000001</v>
      </c>
      <c r="G1" s="41">
        <f t="shared" si="1"/>
        <v>1.7252352</v>
      </c>
    </row>
    <row r="2" spans="1:7" ht="14.4">
      <c r="A2" s="7">
        <v>1.6432</v>
      </c>
      <c r="B2" s="41">
        <f t="shared" ref="B2:C2" si="2">A2-(A2*0.04)</f>
        <v>1.577472</v>
      </c>
      <c r="C2" s="41">
        <f t="shared" si="2"/>
        <v>1.5143731199999999</v>
      </c>
      <c r="D2" s="33"/>
      <c r="E2" s="7">
        <v>2.0072000000000001</v>
      </c>
      <c r="F2" s="41">
        <f t="shared" ref="F2:G2" si="3">E2-(E2*0.04)</f>
        <v>1.9269120000000002</v>
      </c>
      <c r="G2" s="41">
        <f t="shared" si="3"/>
        <v>1.8498355200000001</v>
      </c>
    </row>
    <row r="3" spans="1:7" ht="14.4">
      <c r="A3" s="7">
        <v>2.6415999999999999</v>
      </c>
      <c r="B3" s="41">
        <f t="shared" ref="B3:C3" si="4">A3-(A3*0.04)</f>
        <v>2.535936</v>
      </c>
      <c r="C3" s="41">
        <f t="shared" si="4"/>
        <v>2.4344985599999998</v>
      </c>
      <c r="D3" s="33"/>
      <c r="E3" s="7">
        <v>3.2448000000000001</v>
      </c>
      <c r="F3" s="41">
        <f t="shared" ref="F3:G3" si="5">E3-(E3*0.04)</f>
        <v>3.115008</v>
      </c>
      <c r="G3" s="41">
        <f t="shared" si="5"/>
        <v>2.9904076800000001</v>
      </c>
    </row>
    <row r="4" spans="1:7" ht="14.4">
      <c r="A4" s="7">
        <v>3.9104000000000001</v>
      </c>
      <c r="B4" s="41">
        <f t="shared" ref="B4:C4" si="6">A4-(A4*0.04)</f>
        <v>3.753984</v>
      </c>
      <c r="C4" s="41">
        <f t="shared" si="6"/>
        <v>3.60382464</v>
      </c>
      <c r="D4" s="33"/>
      <c r="E4" s="7">
        <v>4.8048000000000002</v>
      </c>
      <c r="F4" s="41">
        <f t="shared" ref="F4:G4" si="7">E4-(E4*0.04)</f>
        <v>4.6126079999999998</v>
      </c>
      <c r="G4" s="41">
        <f t="shared" si="7"/>
        <v>4.4281036799999995</v>
      </c>
    </row>
    <row r="5" spans="1:7" ht="14.4">
      <c r="A5" s="7">
        <v>5.5536000000000003</v>
      </c>
      <c r="B5" s="41">
        <f t="shared" ref="B5:C5" si="8">A5-(A5*0.04)</f>
        <v>5.3314560000000002</v>
      </c>
      <c r="C5" s="41">
        <f t="shared" si="8"/>
        <v>5.1181977600000002</v>
      </c>
      <c r="D5" s="33"/>
      <c r="E5" s="7">
        <v>6.8224</v>
      </c>
      <c r="F5" s="41">
        <f t="shared" ref="F5:G5" si="9">E5-(E5*0.04)</f>
        <v>6.5495039999999998</v>
      </c>
      <c r="G5" s="41">
        <f t="shared" si="9"/>
        <v>6.2875238399999995</v>
      </c>
    </row>
    <row r="6" spans="1:7" ht="14.4">
      <c r="A6" s="7">
        <v>6.9992000000000001</v>
      </c>
      <c r="B6" s="41">
        <f t="shared" ref="B6:C6" si="10">A6-(A6*0.04)</f>
        <v>6.7192319999999999</v>
      </c>
      <c r="C6" s="41">
        <f t="shared" si="10"/>
        <v>6.45046272</v>
      </c>
      <c r="D6" s="33"/>
      <c r="E6" s="7">
        <v>8.6007999999999996</v>
      </c>
      <c r="F6" s="41">
        <f t="shared" ref="F6:G6" si="11">E6-(E6*0.04)</f>
        <v>8.2567679999999992</v>
      </c>
      <c r="G6" s="41">
        <f t="shared" si="11"/>
        <v>7.9264972799999995</v>
      </c>
    </row>
    <row r="7" spans="1:7" ht="14.4">
      <c r="A7" s="7">
        <v>6.9992000000000001</v>
      </c>
      <c r="B7" s="41">
        <f t="shared" ref="B7:C7" si="12">A7-(A7*0.04)</f>
        <v>6.7192319999999999</v>
      </c>
      <c r="C7" s="41">
        <f t="shared" si="12"/>
        <v>6.45046272</v>
      </c>
      <c r="D7" s="33"/>
      <c r="E7" s="7">
        <v>8.6007999999999996</v>
      </c>
      <c r="F7" s="41">
        <f t="shared" ref="F7:G7" si="13">E7-(E7*0.04)</f>
        <v>8.2567679999999992</v>
      </c>
      <c r="G7" s="41">
        <f t="shared" si="13"/>
        <v>7.9264972799999995</v>
      </c>
    </row>
    <row r="8" spans="1:7" ht="14.4">
      <c r="A8" s="7">
        <v>12.939264</v>
      </c>
      <c r="B8" s="41">
        <f t="shared" ref="B8:C8" si="14">A8-(A8*0.04)</f>
        <v>12.42169344</v>
      </c>
      <c r="C8" s="41">
        <f t="shared" si="14"/>
        <v>11.9248257024</v>
      </c>
      <c r="D8" s="33"/>
      <c r="E8" s="7">
        <v>15.556319999999999</v>
      </c>
      <c r="F8" s="41">
        <f t="shared" ref="F8:G8" si="15">E8-(E8*0.04)</f>
        <v>14.934067199999999</v>
      </c>
      <c r="G8" s="41">
        <f t="shared" si="15"/>
        <v>14.336704511999999</v>
      </c>
    </row>
    <row r="9" spans="1:7" ht="14.4">
      <c r="A9" s="7">
        <v>16.365023999999998</v>
      </c>
      <c r="B9" s="41">
        <f t="shared" ref="B9:C9" si="16">A9-(A9*0.04)</f>
        <v>15.710423039999998</v>
      </c>
      <c r="C9" s="41">
        <f t="shared" si="16"/>
        <v>15.082006118399999</v>
      </c>
      <c r="D9" s="33"/>
      <c r="E9" s="7">
        <v>19.667231999999998</v>
      </c>
      <c r="F9" s="41">
        <f t="shared" ref="F9:G9" si="17">E9-(E9*0.04)</f>
        <v>18.880542719999998</v>
      </c>
      <c r="G9" s="41">
        <f t="shared" si="17"/>
        <v>18.125321011199997</v>
      </c>
    </row>
    <row r="10" spans="1:7" ht="14.4">
      <c r="A10" s="7">
        <v>23.69952</v>
      </c>
      <c r="B10" s="41">
        <f t="shared" ref="B10:C10" si="18">A10-(A10*0.04)</f>
        <v>22.7515392</v>
      </c>
      <c r="C10" s="41">
        <f t="shared" si="18"/>
        <v>21.841477632</v>
      </c>
      <c r="D10" s="33"/>
      <c r="E10" s="7">
        <v>28.484352000000001</v>
      </c>
      <c r="F10" s="41">
        <f t="shared" ref="F10:G10" si="19">E10-(E10*0.04)</f>
        <v>27.344977920000002</v>
      </c>
      <c r="G10" s="41">
        <f t="shared" si="19"/>
        <v>26.251178803200002</v>
      </c>
    </row>
    <row r="11" spans="1:7" ht="14.4">
      <c r="A11" s="7">
        <v>32.606496</v>
      </c>
      <c r="B11" s="41">
        <f t="shared" ref="B11:C11" si="20">A11-(A11*0.04)</f>
        <v>31.30223616</v>
      </c>
      <c r="C11" s="41">
        <f t="shared" si="20"/>
        <v>30.0501467136</v>
      </c>
      <c r="D11" s="33"/>
      <c r="E11" s="7">
        <v>39.177216000000001</v>
      </c>
      <c r="F11" s="41">
        <f t="shared" ref="F11:G11" si="21">E11-(E11*0.04)</f>
        <v>37.61012736</v>
      </c>
      <c r="G11" s="41">
        <f t="shared" si="21"/>
        <v>36.105722265600001</v>
      </c>
    </row>
    <row r="12" spans="1:7" ht="14.4">
      <c r="A12" s="7">
        <v>42.805152</v>
      </c>
      <c r="B12" s="41">
        <f t="shared" ref="B12:C12" si="22">A12-(A12*0.04)</f>
        <v>41.092945919999998</v>
      </c>
      <c r="C12" s="41">
        <f t="shared" si="22"/>
        <v>39.449228083199998</v>
      </c>
      <c r="D12" s="33"/>
      <c r="E12" s="7">
        <v>51.408864000000001</v>
      </c>
      <c r="F12" s="41">
        <f t="shared" ref="F12:G12" si="23">E12-(E12*0.04)</f>
        <v>49.352509439999999</v>
      </c>
      <c r="G12" s="41">
        <f t="shared" si="23"/>
        <v>47.378409062399996</v>
      </c>
    </row>
    <row r="13" spans="1:7" ht="14.4">
      <c r="A13" s="7">
        <v>54.340415999999998</v>
      </c>
      <c r="B13" s="41">
        <f t="shared" ref="B13:C13" si="24">A13-(A13*0.04)</f>
        <v>52.166799359999999</v>
      </c>
      <c r="C13" s="41">
        <f t="shared" si="24"/>
        <v>50.080127385600001</v>
      </c>
      <c r="D13" s="33"/>
      <c r="E13" s="7">
        <v>65.224224000000007</v>
      </c>
      <c r="F13" s="41">
        <f t="shared" ref="F13:G13" si="25">E13-(E13*0.04)</f>
        <v>62.615255040000008</v>
      </c>
      <c r="G13" s="41">
        <f t="shared" si="25"/>
        <v>60.110644838400006</v>
      </c>
    </row>
    <row r="14" spans="1:7" ht="14.4">
      <c r="A14" s="7">
        <v>67.436927999999995</v>
      </c>
      <c r="B14" s="41">
        <f t="shared" ref="B14:C14" si="26">A14-(A14*0.04)</f>
        <v>64.739450879999993</v>
      </c>
      <c r="C14" s="41">
        <f t="shared" si="26"/>
        <v>62.149872844799994</v>
      </c>
      <c r="D14" s="33"/>
      <c r="E14" s="7">
        <v>80.949023999999994</v>
      </c>
      <c r="F14" s="41">
        <f t="shared" ref="F14:G14" si="27">E14-(E14*0.04)</f>
        <v>77.711063039999999</v>
      </c>
      <c r="G14" s="41">
        <f t="shared" si="27"/>
        <v>74.602620518400002</v>
      </c>
    </row>
    <row r="15" spans="1:7" ht="14.4">
      <c r="A15" s="7">
        <v>98.403552000000005</v>
      </c>
      <c r="B15" s="41">
        <f t="shared" ref="B15:C15" si="28">A15-(A15*0.04)</f>
        <v>94.467409920000009</v>
      </c>
      <c r="C15" s="41">
        <f t="shared" si="28"/>
        <v>90.688713523200008</v>
      </c>
      <c r="D15" s="33"/>
      <c r="E15" s="7">
        <v>118.362816</v>
      </c>
      <c r="F15" s="41">
        <f t="shared" ref="F15:G15" si="29">E15-(E15*0.04)</f>
        <v>113.62830335999999</v>
      </c>
      <c r="G15" s="41">
        <f t="shared" si="29"/>
        <v>109.08317122559998</v>
      </c>
    </row>
    <row r="17" spans="1:7" ht="14.4">
      <c r="A17" s="7">
        <v>1.7991999999999999</v>
      </c>
      <c r="B17" s="41">
        <f t="shared" ref="B17:C17" si="30">A17-(A17*0.04)</f>
        <v>1.7272319999999999</v>
      </c>
      <c r="C17" s="41">
        <f t="shared" si="30"/>
        <v>1.6581427199999998</v>
      </c>
      <c r="D17" s="33"/>
      <c r="E17" s="7">
        <v>2.2048000000000001</v>
      </c>
      <c r="F17" s="41">
        <f t="shared" ref="F17:G17" si="31">E17-(E17*0.04)</f>
        <v>2.1166080000000003</v>
      </c>
      <c r="G17" s="41">
        <f t="shared" si="31"/>
        <v>2.0319436800000004</v>
      </c>
    </row>
    <row r="18" spans="1:7" ht="14.4">
      <c r="A18" s="7">
        <v>3.0680000000000001</v>
      </c>
      <c r="B18" s="41">
        <f t="shared" ref="B18:C18" si="32">A18-(A18*0.04)</f>
        <v>2.9452799999999999</v>
      </c>
      <c r="C18" s="41">
        <f t="shared" si="32"/>
        <v>2.8274688000000001</v>
      </c>
      <c r="D18" s="33"/>
      <c r="E18" s="7">
        <v>3.7751999999999999</v>
      </c>
      <c r="F18" s="41">
        <f t="shared" ref="F18:G18" si="33">E18-(E18*0.04)</f>
        <v>3.6241919999999999</v>
      </c>
      <c r="G18" s="41">
        <f t="shared" si="33"/>
        <v>3.4792243199999997</v>
      </c>
    </row>
    <row r="19" spans="1:7" ht="14.4">
      <c r="A19" s="7">
        <v>5.1063999999999998</v>
      </c>
      <c r="B19" s="41">
        <f t="shared" ref="B19:C19" si="34">A19-(A19*0.04)</f>
        <v>4.9021439999999998</v>
      </c>
      <c r="C19" s="41">
        <f t="shared" si="34"/>
        <v>4.7060582399999999</v>
      </c>
      <c r="D19" s="33"/>
      <c r="E19" s="7">
        <v>6.2919999999999998</v>
      </c>
      <c r="F19" s="41">
        <f t="shared" ref="F19:G19" si="35">E19-(E19*0.04)</f>
        <v>6.0403199999999995</v>
      </c>
      <c r="G19" s="41">
        <f t="shared" si="35"/>
        <v>5.7987071999999991</v>
      </c>
    </row>
    <row r="20" spans="1:7" ht="14.4">
      <c r="A20" s="7">
        <v>7.5503999999999998</v>
      </c>
      <c r="B20" s="41">
        <f t="shared" ref="B20:C20" si="36">A20-(A20*0.04)</f>
        <v>7.2483839999999997</v>
      </c>
      <c r="C20" s="41">
        <f t="shared" si="36"/>
        <v>6.9584486399999994</v>
      </c>
      <c r="D20" s="33"/>
      <c r="E20" s="7">
        <v>9.2872000000000003</v>
      </c>
      <c r="F20" s="41">
        <f t="shared" ref="F20:G20" si="37">E20-(E20*0.04)</f>
        <v>8.915712000000001</v>
      </c>
      <c r="G20" s="41">
        <f t="shared" si="37"/>
        <v>8.5590835200000015</v>
      </c>
    </row>
    <row r="21" spans="1:7" ht="15.75" customHeight="1">
      <c r="A21" s="7">
        <v>13.534560000000001</v>
      </c>
      <c r="B21" s="41">
        <f t="shared" ref="B21:C21" si="38">A21-(A21*0.04)</f>
        <v>12.993177600000001</v>
      </c>
      <c r="C21" s="41">
        <f t="shared" si="38"/>
        <v>12.473450496000002</v>
      </c>
      <c r="D21" s="33"/>
      <c r="E21" s="7">
        <v>16.263936000000001</v>
      </c>
      <c r="F21" s="41">
        <f t="shared" ref="F21:G21" si="39">E21-(E21*0.04)</f>
        <v>15.613378560000001</v>
      </c>
      <c r="G21" s="41">
        <f t="shared" si="39"/>
        <v>14.988843417600002</v>
      </c>
    </row>
    <row r="22" spans="1:7" ht="15.75" customHeight="1">
      <c r="A22" s="7">
        <v>17.117567999999999</v>
      </c>
      <c r="B22" s="41">
        <f t="shared" ref="B22:C22" si="40">A22-(A22*0.04)</f>
        <v>16.432865279999998</v>
      </c>
      <c r="C22" s="41">
        <f t="shared" si="40"/>
        <v>15.775550668799998</v>
      </c>
      <c r="D22" s="33"/>
      <c r="E22" s="7">
        <v>20.588256000000001</v>
      </c>
      <c r="F22" s="41">
        <f t="shared" ref="F22:G22" si="41">E22-(E22*0.04)</f>
        <v>19.764725760000001</v>
      </c>
      <c r="G22" s="41">
        <f t="shared" si="41"/>
        <v>18.974136729600001</v>
      </c>
    </row>
    <row r="23" spans="1:7" ht="15.75" customHeight="1">
      <c r="A23" s="7">
        <v>27.12528</v>
      </c>
      <c r="B23" s="41">
        <f t="shared" ref="B23:C23" si="42">A23-(A23*0.04)</f>
        <v>26.0402688</v>
      </c>
      <c r="C23" s="41">
        <f t="shared" si="42"/>
        <v>24.998658047999999</v>
      </c>
      <c r="D23" s="33"/>
      <c r="E23" s="7">
        <v>32.606496</v>
      </c>
      <c r="F23" s="41">
        <f t="shared" ref="F23:G23" si="43">E23-(E23*0.04)</f>
        <v>31.30223616</v>
      </c>
      <c r="G23" s="41">
        <f t="shared" si="43"/>
        <v>30.0501467136</v>
      </c>
    </row>
    <row r="24" spans="1:7" ht="15.75" customHeight="1">
      <c r="A24" s="7">
        <v>40.614911999999997</v>
      </c>
      <c r="B24" s="41">
        <f t="shared" ref="B24:C24" si="44">A24-(A24*0.04)</f>
        <v>38.990315519999996</v>
      </c>
      <c r="C24" s="41">
        <f t="shared" si="44"/>
        <v>37.430702899199993</v>
      </c>
      <c r="D24" s="33"/>
      <c r="E24" s="7">
        <v>48.814272000000003</v>
      </c>
      <c r="F24" s="41">
        <f t="shared" ref="F24:G24" si="45">E24-(E24*0.04)</f>
        <v>46.861701119999999</v>
      </c>
      <c r="G24" s="41">
        <f t="shared" si="45"/>
        <v>44.987233075200002</v>
      </c>
    </row>
    <row r="25" spans="1:7" ht="15.75" customHeight="1">
      <c r="A25" s="7">
        <v>63.550655999999996</v>
      </c>
      <c r="B25" s="41">
        <f t="shared" ref="B25:C25" si="46">A25-(A25*0.04)</f>
        <v>61.008629759999998</v>
      </c>
      <c r="C25" s="41">
        <f t="shared" si="46"/>
        <v>58.568284569599996</v>
      </c>
      <c r="D25" s="33"/>
      <c r="E25" s="7">
        <v>76.377600000000001</v>
      </c>
      <c r="F25" s="41">
        <f t="shared" ref="F25:G25" si="47">E25-(E25*0.04)</f>
        <v>73.322496000000001</v>
      </c>
      <c r="G25" s="41">
        <f t="shared" si="47"/>
        <v>70.389596159999996</v>
      </c>
    </row>
    <row r="26" spans="1:7" ht="15.75" customHeight="1">
      <c r="A26" s="7">
        <v>100.223136</v>
      </c>
      <c r="B26" s="41">
        <f t="shared" ref="B26:C26" si="48">A26-(A26*0.04)</f>
        <v>96.214210559999998</v>
      </c>
      <c r="C26" s="41">
        <f t="shared" si="48"/>
        <v>92.365642137599991</v>
      </c>
      <c r="D26" s="33"/>
      <c r="E26" s="7">
        <v>119.609568</v>
      </c>
      <c r="F26" s="41">
        <f t="shared" ref="F26:G26" si="49">E26-(E26*0.04)</f>
        <v>114.82518528</v>
      </c>
      <c r="G26" s="41">
        <f t="shared" si="49"/>
        <v>110.23217786879999</v>
      </c>
    </row>
    <row r="27" spans="1:7" ht="15.75" customHeight="1"/>
    <row r="28" spans="1:7" ht="15.75" customHeight="1">
      <c r="A28" s="7">
        <v>9.1</v>
      </c>
      <c r="B28" s="41">
        <f t="shared" ref="B28:C28" si="50">A28-(A28*0.04)</f>
        <v>8.7359999999999989</v>
      </c>
      <c r="C28" s="41">
        <f t="shared" si="50"/>
        <v>8.3865599999999993</v>
      </c>
      <c r="D28" s="33"/>
      <c r="E28" s="7">
        <v>30.004000000000001</v>
      </c>
      <c r="F28" s="41">
        <f t="shared" ref="F28:G28" si="51">E28-(E28*0.04)</f>
        <v>28.803840000000001</v>
      </c>
      <c r="G28" s="41">
        <f t="shared" si="51"/>
        <v>27.651686400000003</v>
      </c>
    </row>
    <row r="29" spans="1:7" ht="15.75" customHeight="1">
      <c r="A29" s="7">
        <v>12.490399999999999</v>
      </c>
      <c r="B29" s="41">
        <f t="shared" ref="B29:C29" si="52">A29-(A29*0.04)</f>
        <v>11.990784</v>
      </c>
      <c r="C29" s="41">
        <f t="shared" si="52"/>
        <v>11.511152639999999</v>
      </c>
      <c r="D29" s="33"/>
      <c r="E29" s="7">
        <v>32.739199999999997</v>
      </c>
      <c r="F29" s="41">
        <f t="shared" ref="F29:G29" si="53">E29-(E29*0.04)</f>
        <v>31.429631999999998</v>
      </c>
      <c r="G29" s="41">
        <f t="shared" si="53"/>
        <v>30.172446719999996</v>
      </c>
    </row>
    <row r="30" spans="1:7" ht="15.75" customHeight="1">
      <c r="A30" s="7">
        <v>16.317599999999999</v>
      </c>
      <c r="B30" s="41">
        <f t="shared" ref="B30:C30" si="54">A30-(A30*0.04)</f>
        <v>15.664895999999999</v>
      </c>
      <c r="C30" s="41">
        <f t="shared" si="54"/>
        <v>15.038300159999999</v>
      </c>
      <c r="D30" s="33"/>
      <c r="E30" s="7">
        <v>34.527999999999999</v>
      </c>
      <c r="F30" s="41">
        <f t="shared" ref="F30:G30" si="55">E30-(E30*0.04)</f>
        <v>33.146879999999996</v>
      </c>
      <c r="G30" s="41">
        <f t="shared" si="55"/>
        <v>31.821004799999997</v>
      </c>
    </row>
    <row r="31" spans="1:7" ht="15.75" customHeight="1">
      <c r="A31" s="7">
        <v>16.317599999999999</v>
      </c>
      <c r="B31" s="41">
        <f t="shared" ref="B31:C31" si="56">A31-(A31*0.04)</f>
        <v>15.664895999999999</v>
      </c>
      <c r="C31" s="41">
        <f t="shared" si="56"/>
        <v>15.038300159999999</v>
      </c>
      <c r="D31" s="33"/>
      <c r="E31" s="7">
        <v>39.717599999999997</v>
      </c>
      <c r="F31" s="41">
        <f t="shared" ref="F31:G31" si="57">E31-(E31*0.04)</f>
        <v>38.128895999999997</v>
      </c>
      <c r="G31" s="41">
        <f t="shared" si="57"/>
        <v>36.603740160000001</v>
      </c>
    </row>
    <row r="32" spans="1:7" ht="15.75" customHeight="1">
      <c r="A32" s="7">
        <v>32.145983999999999</v>
      </c>
      <c r="B32" s="41">
        <f t="shared" ref="B32:C32" si="58">A32-(A32*0.04)</f>
        <v>30.860144639999998</v>
      </c>
      <c r="C32" s="41">
        <f t="shared" si="58"/>
        <v>29.625738854399998</v>
      </c>
      <c r="D32" s="33"/>
      <c r="E32" s="7">
        <v>51.854399999999998</v>
      </c>
      <c r="F32" s="41">
        <f t="shared" ref="F32:G32" si="59">E32-(E32*0.04)</f>
        <v>49.780223999999997</v>
      </c>
      <c r="G32" s="41">
        <f t="shared" si="59"/>
        <v>47.789015039999995</v>
      </c>
    </row>
    <row r="33" spans="1:7" ht="15.75" customHeight="1">
      <c r="A33" s="7">
        <v>40.673767679999997</v>
      </c>
      <c r="B33" s="41">
        <f t="shared" ref="B33:C33" si="60">A33-(A33*0.04)</f>
        <v>39.046816972799995</v>
      </c>
      <c r="C33" s="41">
        <f t="shared" si="60"/>
        <v>37.484944293887992</v>
      </c>
      <c r="D33" s="33"/>
      <c r="E33" s="7">
        <v>51.854399999999998</v>
      </c>
      <c r="F33" s="41">
        <f t="shared" ref="F33:G33" si="61">E33-(E33*0.04)</f>
        <v>49.780223999999997</v>
      </c>
      <c r="G33" s="41">
        <f t="shared" si="61"/>
        <v>47.789015039999995</v>
      </c>
    </row>
    <row r="34" spans="1:7" ht="15.75" customHeight="1">
      <c r="A34" s="7">
        <v>60.009880320000001</v>
      </c>
      <c r="B34" s="41">
        <f t="shared" ref="B34:C34" si="62">A34-(A34*0.04)</f>
        <v>57.609485107200001</v>
      </c>
      <c r="C34" s="41">
        <f t="shared" si="62"/>
        <v>55.305105702912002</v>
      </c>
      <c r="D34" s="33"/>
      <c r="E34" s="7">
        <v>102.21209856</v>
      </c>
      <c r="F34" s="41">
        <f t="shared" ref="F34:G34" si="63">E34-(E34*0.04)</f>
        <v>98.123614617599998</v>
      </c>
      <c r="G34" s="41">
        <f t="shared" si="63"/>
        <v>94.198670032896004</v>
      </c>
    </row>
    <row r="35" spans="1:7" ht="15.75" customHeight="1">
      <c r="A35" s="7">
        <v>82.136021760000006</v>
      </c>
      <c r="B35" s="41">
        <f t="shared" ref="B35:C35" si="64">A35-(A35*0.04)</f>
        <v>78.85058088960001</v>
      </c>
      <c r="C35" s="41">
        <f t="shared" si="64"/>
        <v>75.696557654016004</v>
      </c>
      <c r="D35" s="33"/>
      <c r="E35" s="7">
        <v>129.36029184</v>
      </c>
      <c r="F35" s="41">
        <f t="shared" ref="F35:G35" si="65">E35-(E35*0.04)</f>
        <v>124.1858801664</v>
      </c>
      <c r="G35" s="41">
        <f t="shared" si="65"/>
        <v>119.21844495974399</v>
      </c>
    </row>
    <row r="36" spans="1:7" ht="15.75" customHeight="1">
      <c r="A36" s="7">
        <v>107.04006144</v>
      </c>
      <c r="B36" s="41">
        <f t="shared" ref="B36:C36" si="66">A36-(A36*0.04)</f>
        <v>102.7584589824</v>
      </c>
      <c r="C36" s="41">
        <f t="shared" si="66"/>
        <v>98.648120623104006</v>
      </c>
      <c r="D36" s="33"/>
      <c r="E36" s="7">
        <v>190.85010048000001</v>
      </c>
      <c r="F36" s="41">
        <f t="shared" ref="F36:G36" si="67">E36-(E36*0.04)</f>
        <v>183.2160964608</v>
      </c>
      <c r="G36" s="41">
        <f t="shared" si="67"/>
        <v>175.887452602368</v>
      </c>
    </row>
    <row r="37" spans="1:7" ht="15.75" customHeight="1">
      <c r="A37" s="7">
        <v>134.97674112000001</v>
      </c>
      <c r="B37" s="41">
        <f t="shared" ref="B37:C37" si="68">A37-(A37*0.04)</f>
        <v>129.57767147520002</v>
      </c>
      <c r="C37" s="41">
        <f t="shared" si="68"/>
        <v>124.39456461619201</v>
      </c>
      <c r="D37" s="33"/>
      <c r="E37" s="7">
        <v>261.19521792</v>
      </c>
      <c r="F37" s="41">
        <f t="shared" ref="F37:G37" si="69">E37-(E37*0.04)</f>
        <v>250.74740920319999</v>
      </c>
      <c r="G37" s="41">
        <f t="shared" si="69"/>
        <v>240.717512835072</v>
      </c>
    </row>
    <row r="38" spans="1:7" ht="15.75" customHeight="1">
      <c r="A38" s="7">
        <v>167.14698623999999</v>
      </c>
      <c r="B38" s="41">
        <f t="shared" ref="B38:C38" si="70">A38-(A38*0.04)</f>
        <v>160.46110679039998</v>
      </c>
      <c r="C38" s="41">
        <f t="shared" si="70"/>
        <v>154.04266251878397</v>
      </c>
      <c r="D38" s="33"/>
      <c r="E38" s="7">
        <v>340.38351360000001</v>
      </c>
      <c r="F38" s="41">
        <f t="shared" ref="F38:G38" si="71">E38-(E38*0.04)</f>
        <v>326.76817305600002</v>
      </c>
      <c r="G38" s="41">
        <f t="shared" si="71"/>
        <v>313.69744613376002</v>
      </c>
    </row>
    <row r="39" spans="1:7" ht="15.75" customHeight="1">
      <c r="A39" s="7">
        <v>244.28521728000001</v>
      </c>
      <c r="B39" s="41">
        <f t="shared" ref="B39:C39" si="72">A39-(A39*0.04)</f>
        <v>234.5138085888</v>
      </c>
      <c r="C39" s="41">
        <f t="shared" si="72"/>
        <v>225.13325624524799</v>
      </c>
      <c r="D39" s="33"/>
      <c r="E39" s="7">
        <v>429.23986559999997</v>
      </c>
      <c r="F39" s="41">
        <f t="shared" ref="F39:G39" si="73">E39-(E39*0.04)</f>
        <v>412.07027097599996</v>
      </c>
      <c r="G39" s="41">
        <f t="shared" si="73"/>
        <v>395.58746013695998</v>
      </c>
    </row>
    <row r="40" spans="1:7" ht="15.75" customHeight="1">
      <c r="C40" s="33"/>
      <c r="D40" s="33"/>
      <c r="E40" s="7">
        <v>531.53687807999995</v>
      </c>
      <c r="F40" s="41">
        <f t="shared" ref="F40:G40" si="74">E40-(E40*0.04)</f>
        <v>510.27540295679995</v>
      </c>
      <c r="G40" s="41">
        <f t="shared" si="74"/>
        <v>489.86438683852793</v>
      </c>
    </row>
    <row r="41" spans="1:7" ht="15.75" customHeight="1">
      <c r="C41" s="33"/>
      <c r="D41" s="33"/>
      <c r="E41" s="7">
        <v>776.82893184</v>
      </c>
      <c r="F41" s="41">
        <f t="shared" ref="F41:G41" si="75">E41-(E41*0.04)</f>
        <v>745.75577456639996</v>
      </c>
      <c r="G41" s="41">
        <f t="shared" si="75"/>
        <v>715.925543583744</v>
      </c>
    </row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>
      <c r="A46" s="30">
        <v>0.93</v>
      </c>
      <c r="B46" s="41">
        <f t="shared" ref="B46:B83" si="76">A46-(A46*0.04)</f>
        <v>0.89280000000000004</v>
      </c>
      <c r="D46" s="7">
        <v>1.24</v>
      </c>
      <c r="E46" s="41">
        <f t="shared" ref="E46:E83" si="77">D46-(D46*0.04)</f>
        <v>1.1903999999999999</v>
      </c>
    </row>
    <row r="47" spans="1:7" ht="15.75" customHeight="1">
      <c r="A47" s="30">
        <v>1.04</v>
      </c>
      <c r="B47" s="41">
        <f t="shared" si="76"/>
        <v>0.99840000000000007</v>
      </c>
      <c r="D47" s="7">
        <v>1.35</v>
      </c>
      <c r="E47" s="41">
        <f t="shared" si="77"/>
        <v>1.296</v>
      </c>
    </row>
    <row r="48" spans="1:7" ht="15.75" customHeight="1">
      <c r="A48" s="30">
        <v>1.1200000000000001</v>
      </c>
      <c r="B48" s="41">
        <f t="shared" si="76"/>
        <v>1.0752000000000002</v>
      </c>
      <c r="D48" s="7">
        <v>1.44</v>
      </c>
      <c r="E48" s="41">
        <f t="shared" si="77"/>
        <v>1.3823999999999999</v>
      </c>
    </row>
    <row r="49" spans="1:5" ht="15.75" customHeight="1">
      <c r="A49" s="30">
        <v>1.21</v>
      </c>
      <c r="B49" s="41">
        <f t="shared" si="76"/>
        <v>1.1616</v>
      </c>
      <c r="D49" s="7">
        <v>1.52</v>
      </c>
      <c r="E49" s="41">
        <f t="shared" si="77"/>
        <v>1.4592000000000001</v>
      </c>
    </row>
    <row r="50" spans="1:5" ht="15.75" customHeight="1">
      <c r="A50" s="30">
        <v>1.3</v>
      </c>
      <c r="B50" s="41">
        <f t="shared" si="76"/>
        <v>1.248</v>
      </c>
      <c r="D50" s="7">
        <v>1.61</v>
      </c>
      <c r="E50" s="41">
        <f t="shared" si="77"/>
        <v>1.5456000000000001</v>
      </c>
    </row>
    <row r="51" spans="1:5" ht="15.75" customHeight="1">
      <c r="A51" s="30">
        <v>1.74</v>
      </c>
      <c r="B51" s="41">
        <f t="shared" si="76"/>
        <v>1.6703999999999999</v>
      </c>
      <c r="D51" s="7">
        <v>2.0499999999999998</v>
      </c>
      <c r="E51" s="41">
        <f t="shared" si="77"/>
        <v>1.9679999999999997</v>
      </c>
    </row>
    <row r="52" spans="1:5" ht="15.75" customHeight="1">
      <c r="A52" s="30">
        <v>1.1599999999999999</v>
      </c>
      <c r="B52" s="41">
        <f t="shared" si="76"/>
        <v>1.1135999999999999</v>
      </c>
      <c r="D52" s="7">
        <v>1.57</v>
      </c>
      <c r="E52" s="41">
        <f t="shared" si="77"/>
        <v>1.5072000000000001</v>
      </c>
    </row>
    <row r="53" spans="1:5" ht="15.75" customHeight="1">
      <c r="A53" s="30">
        <v>1.31</v>
      </c>
      <c r="B53" s="41">
        <f t="shared" si="76"/>
        <v>1.2576000000000001</v>
      </c>
      <c r="D53" s="7">
        <v>1.74</v>
      </c>
      <c r="E53" s="41">
        <f t="shared" si="77"/>
        <v>1.6703999999999999</v>
      </c>
    </row>
    <row r="54" spans="1:5" ht="15.75" customHeight="1">
      <c r="A54" s="30">
        <v>1.4</v>
      </c>
      <c r="B54" s="41">
        <f t="shared" si="76"/>
        <v>1.3439999999999999</v>
      </c>
      <c r="D54" s="7">
        <v>1.84</v>
      </c>
      <c r="E54" s="41">
        <f t="shared" si="77"/>
        <v>1.7664</v>
      </c>
    </row>
    <row r="55" spans="1:5" ht="15.75" customHeight="1">
      <c r="A55" s="30">
        <v>1.51</v>
      </c>
      <c r="B55" s="41">
        <f t="shared" si="76"/>
        <v>1.4496</v>
      </c>
      <c r="D55" s="7">
        <v>1.94</v>
      </c>
      <c r="E55" s="41">
        <f t="shared" si="77"/>
        <v>1.8624000000000001</v>
      </c>
    </row>
    <row r="56" spans="1:5" ht="15.75" customHeight="1">
      <c r="A56" s="30">
        <v>1.62</v>
      </c>
      <c r="B56" s="41">
        <f t="shared" si="76"/>
        <v>1.5552000000000001</v>
      </c>
      <c r="D56" s="7">
        <v>2.0499999999999998</v>
      </c>
      <c r="E56" s="41">
        <f t="shared" si="77"/>
        <v>1.9679999999999997</v>
      </c>
    </row>
    <row r="57" spans="1:5" ht="15.75" customHeight="1">
      <c r="A57" s="30">
        <v>2.15</v>
      </c>
      <c r="B57" s="41">
        <f t="shared" si="76"/>
        <v>2.0640000000000001</v>
      </c>
      <c r="D57" s="7">
        <v>2.57</v>
      </c>
      <c r="E57" s="41">
        <f t="shared" si="77"/>
        <v>2.4672000000000001</v>
      </c>
    </row>
    <row r="58" spans="1:5" ht="15.75" customHeight="1">
      <c r="A58" s="30">
        <v>2.39</v>
      </c>
      <c r="B58" s="41">
        <f t="shared" si="76"/>
        <v>2.2944</v>
      </c>
      <c r="D58" s="7">
        <v>2.81</v>
      </c>
      <c r="E58" s="41">
        <f t="shared" si="77"/>
        <v>2.6976</v>
      </c>
    </row>
    <row r="59" spans="1:5" ht="15.75" customHeight="1">
      <c r="A59" s="30">
        <v>2.68</v>
      </c>
      <c r="B59" s="41">
        <f t="shared" si="76"/>
        <v>2.5728</v>
      </c>
      <c r="D59" s="7">
        <v>3.1</v>
      </c>
      <c r="E59" s="41">
        <f t="shared" si="77"/>
        <v>2.976</v>
      </c>
    </row>
    <row r="60" spans="1:5" ht="15.75" customHeight="1">
      <c r="A60" s="30">
        <v>2.94</v>
      </c>
      <c r="B60" s="41">
        <f t="shared" si="76"/>
        <v>2.8224</v>
      </c>
      <c r="D60" s="7">
        <v>3.36</v>
      </c>
      <c r="E60" s="41">
        <f t="shared" si="77"/>
        <v>3.2256</v>
      </c>
    </row>
    <row r="61" spans="1:5" ht="15.75" customHeight="1">
      <c r="A61" s="30">
        <v>3.22</v>
      </c>
      <c r="B61" s="41">
        <f t="shared" si="76"/>
        <v>3.0912000000000002</v>
      </c>
      <c r="D61" s="7">
        <v>3.64</v>
      </c>
      <c r="E61" s="41">
        <f t="shared" si="77"/>
        <v>3.4944000000000002</v>
      </c>
    </row>
    <row r="62" spans="1:5" ht="15.75" customHeight="1">
      <c r="A62" s="30">
        <v>2.4500000000000002</v>
      </c>
      <c r="B62" s="41">
        <f t="shared" si="76"/>
        <v>2.3520000000000003</v>
      </c>
      <c r="D62" s="7">
        <v>3.08</v>
      </c>
      <c r="E62" s="41">
        <f t="shared" si="77"/>
        <v>2.9567999999999999</v>
      </c>
    </row>
    <row r="63" spans="1:5" ht="15.75" customHeight="1">
      <c r="A63" s="30">
        <v>2.72</v>
      </c>
      <c r="B63" s="41">
        <f t="shared" si="76"/>
        <v>2.6112000000000002</v>
      </c>
      <c r="D63" s="7">
        <v>3.35</v>
      </c>
      <c r="E63" s="41">
        <f t="shared" si="77"/>
        <v>3.2160000000000002</v>
      </c>
    </row>
    <row r="64" spans="1:5" ht="15.75" customHeight="1">
      <c r="A64" s="30">
        <v>3.05</v>
      </c>
      <c r="B64" s="41">
        <f t="shared" si="76"/>
        <v>2.9279999999999999</v>
      </c>
      <c r="D64" s="7">
        <v>3.67</v>
      </c>
      <c r="E64" s="41">
        <f t="shared" si="77"/>
        <v>3.5232000000000001</v>
      </c>
    </row>
    <row r="65" spans="1:5" ht="15.75" customHeight="1">
      <c r="A65" s="30">
        <v>3.33</v>
      </c>
      <c r="B65" s="41">
        <f t="shared" si="76"/>
        <v>3.1968000000000001</v>
      </c>
      <c r="D65" s="7">
        <v>3.95</v>
      </c>
      <c r="E65" s="41">
        <f t="shared" si="77"/>
        <v>3.7920000000000003</v>
      </c>
    </row>
    <row r="66" spans="1:5" ht="15.75" customHeight="1">
      <c r="A66" s="30">
        <v>3.69</v>
      </c>
      <c r="B66" s="41">
        <f t="shared" si="76"/>
        <v>3.5423999999999998</v>
      </c>
      <c r="D66" s="7">
        <v>4.34</v>
      </c>
      <c r="E66" s="41">
        <f t="shared" si="77"/>
        <v>4.1663999999999994</v>
      </c>
    </row>
    <row r="67" spans="1:5" ht="15.75" customHeight="1">
      <c r="A67" s="30">
        <v>4.53</v>
      </c>
      <c r="B67" s="41">
        <f t="shared" si="76"/>
        <v>4.3488000000000007</v>
      </c>
      <c r="D67" s="7">
        <v>5.16</v>
      </c>
      <c r="E67" s="41">
        <f t="shared" si="77"/>
        <v>4.9535999999999998</v>
      </c>
    </row>
    <row r="68" spans="1:5" ht="15.75" customHeight="1">
      <c r="A68" s="30">
        <v>6.56</v>
      </c>
      <c r="B68" s="41">
        <f t="shared" si="76"/>
        <v>6.2975999999999992</v>
      </c>
      <c r="D68" s="7">
        <v>7.18</v>
      </c>
      <c r="E68" s="41">
        <f t="shared" si="77"/>
        <v>6.8927999999999994</v>
      </c>
    </row>
    <row r="69" spans="1:5" ht="15.75" customHeight="1">
      <c r="A69" s="30">
        <v>7.92</v>
      </c>
      <c r="B69" s="41">
        <f t="shared" si="76"/>
        <v>7.6032000000000002</v>
      </c>
      <c r="D69" s="7">
        <v>8.5500000000000007</v>
      </c>
      <c r="E69" s="41">
        <f t="shared" si="77"/>
        <v>8.2080000000000002</v>
      </c>
    </row>
    <row r="70" spans="1:5" ht="15.75" customHeight="1">
      <c r="A70" s="30">
        <v>9.6</v>
      </c>
      <c r="B70" s="41">
        <f t="shared" si="76"/>
        <v>9.2159999999999993</v>
      </c>
      <c r="D70" s="7">
        <v>10.25</v>
      </c>
      <c r="E70" s="41">
        <f t="shared" si="77"/>
        <v>9.84</v>
      </c>
    </row>
    <row r="71" spans="1:5" ht="15.75" customHeight="1">
      <c r="A71" s="30">
        <v>4.87</v>
      </c>
      <c r="B71" s="41">
        <f t="shared" si="76"/>
        <v>4.6752000000000002</v>
      </c>
      <c r="D71" s="7">
        <v>6.77</v>
      </c>
      <c r="E71" s="41">
        <f t="shared" si="77"/>
        <v>6.4991999999999992</v>
      </c>
    </row>
    <row r="72" spans="1:5" ht="15.75" customHeight="1">
      <c r="A72" s="30">
        <v>5.49</v>
      </c>
      <c r="B72" s="41">
        <f t="shared" si="76"/>
        <v>5.2704000000000004</v>
      </c>
      <c r="D72" s="7">
        <v>7.39</v>
      </c>
      <c r="E72" s="41">
        <f t="shared" si="77"/>
        <v>7.0943999999999994</v>
      </c>
    </row>
    <row r="73" spans="1:5" ht="15.75" customHeight="1">
      <c r="A73" s="30">
        <v>6</v>
      </c>
      <c r="B73" s="41">
        <f t="shared" si="76"/>
        <v>5.76</v>
      </c>
      <c r="D73" s="7">
        <v>7.91</v>
      </c>
      <c r="E73" s="41">
        <f t="shared" si="77"/>
        <v>7.5936000000000003</v>
      </c>
    </row>
    <row r="74" spans="1:5" ht="15.75" customHeight="1">
      <c r="A74" s="30">
        <v>6.65</v>
      </c>
      <c r="B74" s="41">
        <f t="shared" si="76"/>
        <v>6.3840000000000003</v>
      </c>
      <c r="D74" s="7">
        <v>8.5500000000000007</v>
      </c>
      <c r="E74" s="41">
        <f t="shared" si="77"/>
        <v>8.2080000000000002</v>
      </c>
    </row>
    <row r="75" spans="1:5" ht="15.75" customHeight="1">
      <c r="A75" s="30">
        <v>8.16</v>
      </c>
      <c r="B75" s="41">
        <f t="shared" si="76"/>
        <v>7.8336000000000006</v>
      </c>
      <c r="D75" s="7">
        <v>10.050000000000001</v>
      </c>
      <c r="E75" s="41">
        <f t="shared" si="77"/>
        <v>9.6480000000000015</v>
      </c>
    </row>
    <row r="76" spans="1:5" ht="15.75" customHeight="1">
      <c r="A76" s="30">
        <v>9.67</v>
      </c>
      <c r="B76" s="41">
        <f t="shared" si="76"/>
        <v>9.2832000000000008</v>
      </c>
      <c r="D76" s="7">
        <v>11.57</v>
      </c>
      <c r="E76" s="41">
        <f t="shared" si="77"/>
        <v>11.107200000000001</v>
      </c>
    </row>
    <row r="77" spans="1:5" ht="15.75" customHeight="1">
      <c r="A77" s="30">
        <v>11.64</v>
      </c>
      <c r="B77" s="41">
        <f t="shared" si="76"/>
        <v>11.1744</v>
      </c>
      <c r="D77" s="7">
        <v>13.54</v>
      </c>
      <c r="E77" s="41">
        <f t="shared" si="77"/>
        <v>12.998399999999998</v>
      </c>
    </row>
    <row r="78" spans="1:5" ht="15.75" customHeight="1">
      <c r="A78" s="30">
        <v>14.14</v>
      </c>
      <c r="B78" s="41">
        <f t="shared" si="76"/>
        <v>13.574400000000001</v>
      </c>
      <c r="D78" s="7">
        <v>16.04</v>
      </c>
      <c r="E78" s="41">
        <f t="shared" si="77"/>
        <v>15.398399999999999</v>
      </c>
    </row>
    <row r="79" spans="1:5" ht="15.75" customHeight="1">
      <c r="A79" s="30">
        <v>15.54</v>
      </c>
      <c r="B79" s="41">
        <f t="shared" si="76"/>
        <v>14.918399999999998</v>
      </c>
      <c r="D79" s="7">
        <v>17.440000000000001</v>
      </c>
      <c r="E79" s="41">
        <f t="shared" si="77"/>
        <v>16.7424</v>
      </c>
    </row>
    <row r="80" spans="1:5" ht="15.75" customHeight="1">
      <c r="A80" s="30">
        <v>19.418399999999998</v>
      </c>
      <c r="B80" s="41">
        <f t="shared" si="76"/>
        <v>18.641663999999999</v>
      </c>
      <c r="D80" s="7">
        <v>22.831199999999999</v>
      </c>
      <c r="E80" s="41">
        <f t="shared" si="77"/>
        <v>21.917952</v>
      </c>
    </row>
    <row r="81" spans="1:5" ht="15.75" customHeight="1">
      <c r="A81" s="30">
        <v>22.453199999999999</v>
      </c>
      <c r="B81" s="41">
        <f t="shared" si="76"/>
        <v>21.555071999999999</v>
      </c>
      <c r="D81" s="7">
        <v>25.8552</v>
      </c>
      <c r="E81" s="41">
        <f t="shared" si="77"/>
        <v>24.820992</v>
      </c>
    </row>
    <row r="82" spans="1:5" ht="15.75" customHeight="1">
      <c r="A82" s="30">
        <v>28.576799999999999</v>
      </c>
      <c r="B82" s="41">
        <f t="shared" si="76"/>
        <v>27.433727999999999</v>
      </c>
      <c r="D82" s="7">
        <v>31.9788</v>
      </c>
      <c r="E82" s="41">
        <f t="shared" si="77"/>
        <v>30.699648</v>
      </c>
    </row>
    <row r="83" spans="1:5" ht="15.75" customHeight="1">
      <c r="A83" s="30">
        <v>31.114799999999999</v>
      </c>
      <c r="B83" s="41">
        <f t="shared" si="76"/>
        <v>29.870207999999998</v>
      </c>
      <c r="D83" s="7">
        <v>34.5276</v>
      </c>
      <c r="E83" s="41">
        <f t="shared" si="77"/>
        <v>33.146495999999999</v>
      </c>
    </row>
    <row r="84" spans="1:5" ht="15.75" customHeight="1"/>
    <row r="85" spans="1:5" ht="15.75" customHeight="1"/>
    <row r="86" spans="1:5" ht="15.75" customHeight="1"/>
    <row r="87" spans="1:5" ht="15.75" customHeight="1"/>
    <row r="88" spans="1:5" ht="15.75" customHeight="1"/>
    <row r="89" spans="1:5" ht="15.75" customHeight="1"/>
    <row r="90" spans="1:5" ht="15.75" customHeight="1"/>
    <row r="91" spans="1:5" ht="15.75" customHeight="1"/>
    <row r="92" spans="1:5" ht="15.75" customHeight="1"/>
    <row r="93" spans="1:5" ht="15.75" customHeight="1"/>
    <row r="94" spans="1:5" ht="15.75" customHeight="1"/>
    <row r="95" spans="1:5" ht="15.75" customHeight="1"/>
    <row r="96" spans="1: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Miceli</dc:creator>
  <cp:lastModifiedBy>Vitor Miceli</cp:lastModifiedBy>
  <cp:lastPrinted>2026-04-01T17:02:48Z</cp:lastPrinted>
  <dcterms:created xsi:type="dcterms:W3CDTF">2026-01-19T19:12:26Z</dcterms:created>
  <dcterms:modified xsi:type="dcterms:W3CDTF">2026-04-06T14:36:48Z</dcterms:modified>
</cp:coreProperties>
</file>